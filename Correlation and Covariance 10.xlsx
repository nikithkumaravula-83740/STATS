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5e30c12a326608a7/Desktop/PW COURSE/EXCEL/"/>
    </mc:Choice>
  </mc:AlternateContent>
  <xr:revisionPtr revIDLastSave="30" documentId="13_ncr:1_{4CA3CF38-CB16-4C6E-BEFD-5C1A76181927}" xr6:coauthVersionLast="47" xr6:coauthVersionMax="47" xr10:uidLastSave="{89A3AE76-4F04-42B8-BE86-14EAC05D9411}"/>
  <bookViews>
    <workbookView xWindow="-120" yWindow="-120" windowWidth="26640" windowHeight="14370" activeTab="9" xr2:uid="{00000000-000D-0000-FFFF-FFFF00000000}"/>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5" i="10" l="1"/>
  <c r="D17" i="10"/>
  <c r="G26" i="9"/>
  <c r="D12" i="8"/>
  <c r="C11" i="7"/>
  <c r="C13" i="6"/>
</calcChain>
</file>

<file path=xl/sharedStrings.xml><?xml version="1.0" encoding="utf-8"?>
<sst xmlns="http://schemas.openxmlformats.org/spreadsheetml/2006/main" count="263" uniqueCount="227">
  <si>
    <t>Q)</t>
  </si>
  <si>
    <t>ANS</t>
  </si>
  <si>
    <t xml:space="preserve"> Define Covariance and explain how it differs from Correlation in terms of scale and interpretation.</t>
  </si>
  <si>
    <t>What does a positive, negative, and zero covariance indicate about the relationship between two variables?</t>
  </si>
  <si>
    <t>Discuss the limitations of covariance as a measure of relationship between two variables. Why is correlation preferred in many cases?</t>
  </si>
  <si>
    <t>Explain the difference between Pearson’s correlation coefficient and Spearman’s rank correlation coefficient. When would you prefer to use Spearman’s correlation?</t>
  </si>
  <si>
    <t>If the correlation coefficient between two variables X and Y is 0.85, interpret this value in context. Can you infer causation from this value? Why or why not?</t>
  </si>
  <si>
    <t>Using the dataset below, calculate the covariance between X and Y.</t>
  </si>
  <si>
    <t>X</t>
  </si>
  <si>
    <t>Y</t>
  </si>
  <si>
    <t>Compute the Pearson correlation coefficient between variables A and B:</t>
  </si>
  <si>
    <t>A</t>
  </si>
  <si>
    <t>B</t>
  </si>
  <si>
    <t>Find the correlation coefficient between Height and Weight.</t>
  </si>
  <si>
    <t>HEIGHT</t>
  </si>
  <si>
    <t>WEIGHT</t>
  </si>
  <si>
    <t>(No need for exact calculation, just reasoning.)</t>
  </si>
  <si>
    <t>Two investment portfolios have the following returns (%) over 5 years. Compute the covariance and correlation coefficient, and interpret whether the portfolios move together.</t>
  </si>
  <si>
    <t>YEAR</t>
  </si>
  <si>
    <t>PORTFOLIO A</t>
  </si>
  <si>
    <t>PORTFOLIO B</t>
  </si>
  <si>
    <t>Covariance is a statistical measure that indicates the direction of the linear relationship between two variables. It shows whether the variables tend to increase or decrease together.</t>
  </si>
  <si>
    <t>Positive covariance: Both variables move in the same direction</t>
  </si>
  <si>
    <t>Negative covariance: Variables move in opposite directions</t>
  </si>
  <si>
    <t>Zero covariance: No linear relationship</t>
  </si>
  <si>
    <t>• Covariance – Definition</t>
  </si>
  <si>
    <t>Aspect</t>
  </si>
  <si>
    <t>Covariance</t>
  </si>
  <si>
    <t>Correlation</t>
  </si>
  <si>
    <t>Scale</t>
  </si>
  <si>
    <t>Depends on the units of measurement of variables</t>
  </si>
  <si>
    <t>Unit-free (standardized)</t>
  </si>
  <si>
    <t>Range</t>
  </si>
  <si>
    <t>No fixed range</t>
  </si>
  <si>
    <r>
      <t xml:space="preserve">Always between </t>
    </r>
    <r>
      <rPr>
        <b/>
        <sz val="11"/>
        <color theme="1"/>
        <rFont val="Calibri"/>
        <family val="2"/>
        <scheme val="minor"/>
      </rPr>
      <t>–1 and +1</t>
    </r>
  </si>
  <si>
    <t>Interpretation</t>
  </si>
  <si>
    <r>
      <t xml:space="preserve">Indicates only the </t>
    </r>
    <r>
      <rPr>
        <b/>
        <sz val="11"/>
        <color theme="1"/>
        <rFont val="Calibri"/>
        <family val="2"/>
        <scheme val="minor"/>
      </rPr>
      <t>direction</t>
    </r>
    <r>
      <rPr>
        <sz val="11"/>
        <color theme="1"/>
        <rFont val="Calibri"/>
        <family val="2"/>
        <scheme val="minor"/>
      </rPr>
      <t xml:space="preserve"> of relationship</t>
    </r>
  </si>
  <si>
    <r>
      <t xml:space="preserve">Indicates both </t>
    </r>
    <r>
      <rPr>
        <b/>
        <sz val="11"/>
        <color theme="1"/>
        <rFont val="Calibri"/>
        <family val="2"/>
        <scheme val="minor"/>
      </rPr>
      <t>direction and strength</t>
    </r>
  </si>
  <si>
    <t>Comparability</t>
  </si>
  <si>
    <t>Difficult to compare across datasets</t>
  </si>
  <si>
    <t>Easy to compare across datasets</t>
  </si>
  <si>
    <t>Key Interpretation Difference</t>
  </si>
  <si>
    <r>
      <t xml:space="preserve">📌 </t>
    </r>
    <r>
      <rPr>
        <b/>
        <sz val="11"/>
        <color theme="1"/>
        <rFont val="Calibri"/>
        <family val="2"/>
        <scheme val="minor"/>
      </rPr>
      <t>Important Note:</t>
    </r>
  </si>
  <si>
    <r>
      <t xml:space="preserve">Correlation is a </t>
    </r>
    <r>
      <rPr>
        <b/>
        <sz val="11"/>
        <color theme="1"/>
        <rFont val="Calibri"/>
        <family val="2"/>
        <scheme val="minor"/>
      </rPr>
      <t>standardized form of covariance</t>
    </r>
    <r>
      <rPr>
        <sz val="11"/>
        <color theme="1"/>
        <rFont val="Calibri"/>
        <family val="2"/>
        <scheme val="minor"/>
      </rPr>
      <t>, obtained by dividing covariance by the product of the standard deviations of the two variables.</t>
    </r>
  </si>
  <si>
    <r>
      <t>• Covariance</t>
    </r>
    <r>
      <rPr>
        <sz val="11"/>
        <color theme="1"/>
        <rFont val="Calibri"/>
        <family val="2"/>
        <scheme val="minor"/>
      </rPr>
      <t xml:space="preserve"> tells </t>
    </r>
    <r>
      <rPr>
        <i/>
        <sz val="11"/>
        <color theme="1"/>
        <rFont val="Calibri"/>
        <family val="2"/>
        <scheme val="minor"/>
      </rPr>
      <t>whether</t>
    </r>
    <r>
      <rPr>
        <sz val="11"/>
        <color theme="1"/>
        <rFont val="Calibri"/>
        <family val="2"/>
        <scheme val="minor"/>
      </rPr>
      <t xml:space="preserve"> two variables move together or oppositely.</t>
    </r>
  </si>
  <si>
    <r>
      <t>• Correlation</t>
    </r>
    <r>
      <rPr>
        <sz val="11"/>
        <color theme="1"/>
        <rFont val="Calibri"/>
        <family val="2"/>
        <scheme val="minor"/>
      </rPr>
      <t xml:space="preserve"> tells </t>
    </r>
    <r>
      <rPr>
        <i/>
        <sz val="11"/>
        <color theme="1"/>
        <rFont val="Calibri"/>
        <family val="2"/>
        <scheme val="minor"/>
      </rPr>
      <t>how strongly</t>
    </r>
    <r>
      <rPr>
        <sz val="11"/>
        <color theme="1"/>
        <rFont val="Calibri"/>
        <family val="2"/>
        <scheme val="minor"/>
      </rPr>
      <t xml:space="preserve"> and </t>
    </r>
    <r>
      <rPr>
        <i/>
        <sz val="11"/>
        <color theme="1"/>
        <rFont val="Calibri"/>
        <family val="2"/>
        <scheme val="minor"/>
      </rPr>
      <t>in what direction</t>
    </r>
    <r>
      <rPr>
        <sz val="11"/>
        <color theme="1"/>
        <rFont val="Calibri"/>
        <family val="2"/>
        <scheme val="minor"/>
      </rPr>
      <t xml:space="preserve"> they are related.</t>
    </r>
  </si>
  <si>
    <t>Conclusion</t>
  </si>
  <si>
    <t>Covariance shows the direction of a relationship but is affected by scale, while correlation removes the scale effect and provides a clear, interpretable measure of both direction and strength of association.</t>
  </si>
  <si>
    <t>Interpretation of Covariance</t>
  </si>
  <si>
    <r>
      <t xml:space="preserve">Covariance indicates how </t>
    </r>
    <r>
      <rPr>
        <b/>
        <sz val="11"/>
        <color theme="1"/>
        <rFont val="Calibri"/>
        <family val="2"/>
        <scheme val="minor"/>
      </rPr>
      <t>two variables move together</t>
    </r>
    <r>
      <rPr>
        <sz val="11"/>
        <color theme="1"/>
        <rFont val="Calibri"/>
        <family val="2"/>
        <scheme val="minor"/>
      </rPr>
      <t xml:space="preserve">. Its sign tells the </t>
    </r>
    <r>
      <rPr>
        <b/>
        <sz val="11"/>
        <color theme="1"/>
        <rFont val="Calibri"/>
        <family val="2"/>
        <scheme val="minor"/>
      </rPr>
      <t>direction</t>
    </r>
    <r>
      <rPr>
        <sz val="11"/>
        <color theme="1"/>
        <rFont val="Calibri"/>
        <family val="2"/>
        <scheme val="minor"/>
      </rPr>
      <t xml:space="preserve"> of their relationship.</t>
    </r>
  </si>
  <si>
    <t>1. Positive Covariance</t>
  </si>
  <si>
    <t>Example:</t>
  </si>
  <si>
    <t>Height and weight — taller people generally weigh more.</t>
  </si>
  <si>
    <t>2. Negative Covariance</t>
  </si>
  <si>
    <t>Price and demand — as price increases, demand usually decreases.</t>
  </si>
  <si>
    <t>3. Zero Covariance</t>
  </si>
  <si>
    <t>Shoe size and exam scores.</t>
  </si>
  <si>
    <r>
      <t xml:space="preserve">• Indicates that </t>
    </r>
    <r>
      <rPr>
        <b/>
        <sz val="11"/>
        <color theme="1"/>
        <rFont val="Calibri"/>
        <family val="2"/>
        <scheme val="minor"/>
      </rPr>
      <t>both variables tend to increase or decrease together</t>
    </r>
    <r>
      <rPr>
        <sz val="11"/>
        <color theme="1"/>
        <rFont val="Calibri"/>
        <family val="2"/>
        <scheme val="minor"/>
      </rPr>
      <t>.</t>
    </r>
  </si>
  <si>
    <t>• When one variable goes up, the other usually goes up as well.</t>
  </si>
  <si>
    <r>
      <t xml:space="preserve">• Indicates that </t>
    </r>
    <r>
      <rPr>
        <b/>
        <sz val="11"/>
        <color theme="1"/>
        <rFont val="Calibri"/>
        <family val="2"/>
        <scheme val="minor"/>
      </rPr>
      <t>variables move in opposite directions</t>
    </r>
    <r>
      <rPr>
        <sz val="11"/>
        <color theme="1"/>
        <rFont val="Calibri"/>
        <family val="2"/>
        <scheme val="minor"/>
      </rPr>
      <t>.</t>
    </r>
  </si>
  <si>
    <t>• When one variable increases, the other tends to decrease.</t>
  </si>
  <si>
    <r>
      <t xml:space="preserve">• Indicates </t>
    </r>
    <r>
      <rPr>
        <b/>
        <sz val="11"/>
        <color theme="1"/>
        <rFont val="Calibri"/>
        <family val="2"/>
        <scheme val="minor"/>
      </rPr>
      <t>no linear relationship</t>
    </r>
    <r>
      <rPr>
        <sz val="11"/>
        <color theme="1"/>
        <rFont val="Calibri"/>
        <family val="2"/>
        <scheme val="minor"/>
      </rPr>
      <t xml:space="preserve"> between the variables.</t>
    </r>
  </si>
  <si>
    <r>
      <t xml:space="preserve">• Changes in one variable do </t>
    </r>
    <r>
      <rPr>
        <b/>
        <sz val="11"/>
        <color theme="1"/>
        <rFont val="Calibri"/>
        <family val="2"/>
        <scheme val="minor"/>
      </rPr>
      <t>not</t>
    </r>
    <r>
      <rPr>
        <sz val="11"/>
        <color theme="1"/>
        <rFont val="Calibri"/>
        <family val="2"/>
        <scheme val="minor"/>
      </rPr>
      <t xml:space="preserve"> systematically affect the other.</t>
    </r>
  </si>
  <si>
    <t>Covariance Value</t>
  </si>
  <si>
    <t>Meaning</t>
  </si>
  <si>
    <t>Positive</t>
  </si>
  <si>
    <t>Variables move in the same direction</t>
  </si>
  <si>
    <t>Negative</t>
  </si>
  <si>
    <t>Variables move in opposite directions</t>
  </si>
  <si>
    <t>Zero</t>
  </si>
  <si>
    <t>No linear relationship</t>
  </si>
  <si>
    <t>Important Note</t>
  </si>
  <si>
    <r>
      <t xml:space="preserve">Zero covariance does </t>
    </r>
    <r>
      <rPr>
        <b/>
        <sz val="11"/>
        <color theme="1"/>
        <rFont val="Calibri"/>
        <family val="2"/>
        <scheme val="minor"/>
      </rPr>
      <t>not</t>
    </r>
    <r>
      <rPr>
        <sz val="11"/>
        <color theme="1"/>
        <rFont val="Calibri"/>
        <family val="2"/>
        <scheme val="minor"/>
      </rPr>
      <t xml:space="preserve"> necessarily mean no relationship — it only means no </t>
    </r>
    <r>
      <rPr>
        <b/>
        <sz val="11"/>
        <color theme="1"/>
        <rFont val="Calibri"/>
        <family val="2"/>
        <scheme val="minor"/>
      </rPr>
      <t>linear</t>
    </r>
    <r>
      <rPr>
        <sz val="11"/>
        <color theme="1"/>
        <rFont val="Calibri"/>
        <family val="2"/>
        <scheme val="minor"/>
      </rPr>
      <t xml:space="preserve"> relationship.</t>
    </r>
  </si>
  <si>
    <r>
      <t xml:space="preserve">Covariance indicates the </t>
    </r>
    <r>
      <rPr>
        <b/>
        <sz val="11"/>
        <color theme="1"/>
        <rFont val="Calibri"/>
        <family val="2"/>
        <scheme val="minor"/>
      </rPr>
      <t>direction</t>
    </r>
    <r>
      <rPr>
        <sz val="11"/>
        <color theme="1"/>
        <rFont val="Calibri"/>
        <family val="2"/>
        <scheme val="minor"/>
      </rPr>
      <t xml:space="preserve"> of a linear relationship between two variables, but it has several limitations that reduce its usefulness as a measure of association:</t>
    </r>
  </si>
  <si>
    <t>1. Depends on Units of Measurement</t>
  </si>
  <si>
    <t>The value of covariance changes when the units of the variables change (e.g., meters to centimeters).</t>
  </si>
  <si>
    <t>This makes the magnitude difficult to interpret.</t>
  </si>
  <si>
    <t>2. No Standard Scale or Range</t>
  </si>
  <si>
    <t>Covariance has no fixed upper or lower limits.</t>
  </si>
  <si>
    <t>It is not possible to judge whether a covariance value represents a weak or strong relationship.</t>
  </si>
  <si>
    <t>3. Difficult Interpretation</t>
  </si>
  <si>
    <t>The numerical value of covariance does not provide clear meaning beyond the sign (positive or negative).</t>
  </si>
  <si>
    <t>4. Not Suitable for Comparison</t>
  </si>
  <si>
    <t>Covariance values from different datasets or variable pairs cannot be compared directly due to differences in scale.</t>
  </si>
  <si>
    <t>5. Indicates Direction Only</t>
  </si>
  <si>
    <r>
      <t xml:space="preserve">Covariance shows whether variables move together or in opposite directions, but not the </t>
    </r>
    <r>
      <rPr>
        <b/>
        <sz val="11"/>
        <color theme="1"/>
        <rFont val="Calibri"/>
        <family val="2"/>
        <scheme val="minor"/>
      </rPr>
      <t>strength</t>
    </r>
    <r>
      <rPr>
        <sz val="11"/>
        <color theme="1"/>
        <rFont val="Calibri"/>
        <family val="2"/>
        <scheme val="minor"/>
      </rPr>
      <t xml:space="preserve"> of the relationship.</t>
    </r>
  </si>
  <si>
    <t>6. Limited to Linear Relationships</t>
  </si>
  <si>
    <t>Like correlation, covariance captures only linear associations and may miss non-linear relationships.</t>
  </si>
  <si>
    <t>While covariance is useful for identifying the direction of a relationship, its dependence on scale and lack of interpretability limit its effectiveness.</t>
  </si>
  <si>
    <t xml:space="preserve"> These limitations are why standardized measures like correlation are often preferred in practice.</t>
  </si>
  <si>
    <t>• Limitations of Covariance as a Measure of Relationship</t>
  </si>
  <si>
    <r>
      <t xml:space="preserve">Correlation is preferred over covariance because it provides a </t>
    </r>
    <r>
      <rPr>
        <b/>
        <sz val="11"/>
        <color theme="1"/>
        <rFont val="Calibri"/>
        <family val="2"/>
        <scheme val="minor"/>
      </rPr>
      <t>clearer, more interpretable, and comparable</t>
    </r>
    <r>
      <rPr>
        <sz val="11"/>
        <color theme="1"/>
        <rFont val="Calibri"/>
        <family val="2"/>
        <scheme val="minor"/>
      </rPr>
      <t xml:space="preserve"> measure of the relationship between two variables.</t>
    </r>
  </si>
  <si>
    <t>1. Unit-Free Measure</t>
  </si>
  <si>
    <t>Correlation is independent of the units of measurement.</t>
  </si>
  <si>
    <t>This makes results consistent even if variables are measured in different units.</t>
  </si>
  <si>
    <t>2. Standardized Scale</t>
  </si>
  <si>
    <r>
      <t xml:space="preserve">Correlation always lies between </t>
    </r>
    <r>
      <rPr>
        <b/>
        <sz val="11"/>
        <color theme="1"/>
        <rFont val="Calibri"/>
        <family val="2"/>
        <scheme val="minor"/>
      </rPr>
      <t>–1 and +1</t>
    </r>
    <r>
      <rPr>
        <sz val="11"/>
        <color theme="1"/>
        <rFont val="Calibri"/>
        <family val="2"/>
        <scheme val="minor"/>
      </rPr>
      <t>, making interpretation straightforward.</t>
    </r>
  </si>
  <si>
    <t>3. Measures Strength and Direction</t>
  </si>
  <si>
    <r>
      <t xml:space="preserve">Unlike covariance, correlation shows </t>
    </r>
    <r>
      <rPr>
        <b/>
        <sz val="11"/>
        <color theme="1"/>
        <rFont val="Calibri"/>
        <family val="2"/>
        <scheme val="minor"/>
      </rPr>
      <t>both</t>
    </r>
    <r>
      <rPr>
        <sz val="11"/>
        <color theme="1"/>
        <rFont val="Calibri"/>
        <family val="2"/>
        <scheme val="minor"/>
      </rPr>
      <t xml:space="preserve"> how strong the relationship is and whether it is positive or negative.</t>
    </r>
  </si>
  <si>
    <t>4. Easy Comparison</t>
  </si>
  <si>
    <t>Correlation values can be easily compared across different datasets and studies.</t>
  </si>
  <si>
    <t>5. Clear Interpretation</t>
  </si>
  <si>
    <t>Values close to ±1 indicate strong relationships; values near 0 indicate weak or no linear relationship.</t>
  </si>
  <si>
    <t>Correlation is preferred because it standardizes the relationship between variables, removing the effects of scale and units, and provides an intuitive and meaningful measure of both the strength and direction of association.</t>
  </si>
  <si>
    <t>• Why Correlation Is Preferred in Many Cases</t>
  </si>
  <si>
    <t>Difference Between Pearson’s and Spearman’s Correlation Coefficients</t>
  </si>
  <si>
    <r>
      <t xml:space="preserve">Both coefficients measure the </t>
    </r>
    <r>
      <rPr>
        <b/>
        <sz val="11"/>
        <color theme="1"/>
        <rFont val="Calibri"/>
        <family val="2"/>
        <scheme val="minor"/>
      </rPr>
      <t>association between two variables</t>
    </r>
    <r>
      <rPr>
        <sz val="11"/>
        <color theme="1"/>
        <rFont val="Calibri"/>
        <family val="2"/>
        <scheme val="minor"/>
      </rPr>
      <t>, but they differ in assumptions, calculation, and interpretation.</t>
    </r>
  </si>
  <si>
    <t>1. Pearson’s Correlation Coefficient (r)</t>
  </si>
  <si>
    <t>What it measures:</t>
  </si>
  <si>
    <r>
      <t>Strength and direction of a linear relationship</t>
    </r>
    <r>
      <rPr>
        <sz val="11"/>
        <color theme="1"/>
        <rFont val="Calibri"/>
        <family val="2"/>
        <scheme val="minor"/>
      </rPr>
      <t xml:space="preserve"> between two continuous variables.</t>
    </r>
  </si>
  <si>
    <t>Key characteristics:</t>
  </si>
  <si>
    <r>
      <t>Range:</t>
    </r>
    <r>
      <rPr>
        <sz val="11"/>
        <color theme="1"/>
        <rFont val="Calibri"/>
        <family val="2"/>
        <scheme val="minor"/>
      </rPr>
      <t xml:space="preserve"> –1 to +1</t>
    </r>
  </si>
  <si>
    <t>Typical use:</t>
  </si>
  <si>
    <t>2. Spearman’s Rank Correlation Coefficient (ρ or rₛ)</t>
  </si>
  <si>
    <r>
      <t xml:space="preserve">• Uses </t>
    </r>
    <r>
      <rPr>
        <b/>
        <sz val="11"/>
        <color theme="1"/>
        <rFont val="Calibri"/>
        <family val="2"/>
        <scheme val="minor"/>
      </rPr>
      <t>actual data values</t>
    </r>
  </si>
  <si>
    <r>
      <t xml:space="preserve">• Assumes a </t>
    </r>
    <r>
      <rPr>
        <b/>
        <sz val="11"/>
        <color theme="1"/>
        <rFont val="Calibri"/>
        <family val="2"/>
        <scheme val="minor"/>
      </rPr>
      <t>linear relationship</t>
    </r>
  </si>
  <si>
    <r>
      <t xml:space="preserve">• Sensitive to </t>
    </r>
    <r>
      <rPr>
        <b/>
        <sz val="11"/>
        <color theme="1"/>
        <rFont val="Calibri"/>
        <family val="2"/>
        <scheme val="minor"/>
      </rPr>
      <t>outliers</t>
    </r>
  </si>
  <si>
    <r>
      <t xml:space="preserve">• Requires variables to be approximately </t>
    </r>
    <r>
      <rPr>
        <b/>
        <sz val="11"/>
        <color theme="1"/>
        <rFont val="Calibri"/>
        <family val="2"/>
        <scheme val="minor"/>
      </rPr>
      <t>normally distributed</t>
    </r>
  </si>
  <si>
    <r>
      <t xml:space="preserve">• When the relationship is linear and data are measured on an </t>
    </r>
    <r>
      <rPr>
        <b/>
        <sz val="11"/>
        <color theme="1"/>
        <rFont val="Calibri"/>
        <family val="2"/>
        <scheme val="minor"/>
      </rPr>
      <t>interval or ratio scale</t>
    </r>
  </si>
  <si>
    <r>
      <t>• Strength and direction of a monotonic relationship</t>
    </r>
    <r>
      <rPr>
        <sz val="11"/>
        <color theme="1"/>
        <rFont val="Calibri"/>
        <family val="2"/>
        <scheme val="minor"/>
      </rPr>
      <t xml:space="preserve"> (increasing or decreasing), not necessarily linear.</t>
    </r>
  </si>
  <si>
    <r>
      <t xml:space="preserve">• Uses </t>
    </r>
    <r>
      <rPr>
        <b/>
        <sz val="11"/>
        <color theme="1"/>
        <rFont val="Calibri"/>
        <family val="2"/>
        <scheme val="minor"/>
      </rPr>
      <t>ranks of data</t>
    </r>
    <r>
      <rPr>
        <sz val="11"/>
        <color theme="1"/>
        <rFont val="Calibri"/>
        <family val="2"/>
        <scheme val="minor"/>
      </rPr>
      <t>, not raw values</t>
    </r>
  </si>
  <si>
    <r>
      <t xml:space="preserve">• Does </t>
    </r>
    <r>
      <rPr>
        <b/>
        <sz val="11"/>
        <color theme="1"/>
        <rFont val="Calibri"/>
        <family val="2"/>
        <scheme val="minor"/>
      </rPr>
      <t>not require normality</t>
    </r>
  </si>
  <si>
    <r>
      <t xml:space="preserve">• Less sensitive to </t>
    </r>
    <r>
      <rPr>
        <b/>
        <sz val="11"/>
        <color theme="1"/>
        <rFont val="Calibri"/>
        <family val="2"/>
        <scheme val="minor"/>
      </rPr>
      <t>outliers</t>
    </r>
  </si>
  <si>
    <r>
      <t xml:space="preserve">• Suitable for </t>
    </r>
    <r>
      <rPr>
        <b/>
        <sz val="11"/>
        <color theme="1"/>
        <rFont val="Calibri"/>
        <family val="2"/>
        <scheme val="minor"/>
      </rPr>
      <t>ordinal data</t>
    </r>
  </si>
  <si>
    <t>Pearson’s Correlation</t>
  </si>
  <si>
    <t>Spearman’s Correlation</t>
  </si>
  <si>
    <t>Data used</t>
  </si>
  <si>
    <t>Actual values</t>
  </si>
  <si>
    <t>Ranked values</t>
  </si>
  <si>
    <t>Type of relationship</t>
  </si>
  <si>
    <t>Linear</t>
  </si>
  <si>
    <t>Monotonic (linear or non-linear)</t>
  </si>
  <si>
    <t>Data requirement</t>
  </si>
  <si>
    <t>Interval/ratio, normal</t>
  </si>
  <si>
    <t>Ordinal or non-normal</t>
  </si>
  <si>
    <t>Sensitivity to outliers</t>
  </si>
  <si>
    <t>High</t>
  </si>
  <si>
    <t>Low</t>
  </si>
  <si>
    <t>Assumptions</t>
  </si>
  <si>
    <t>Strong assumptions</t>
  </si>
  <si>
    <t>Fewer assumptions</t>
  </si>
  <si>
    <t>• Key Differences at a Glance</t>
  </si>
  <si>
    <t>When to Prefer Spearman’s Correlation</t>
  </si>
  <si>
    <r>
      <t xml:space="preserve">Use </t>
    </r>
    <r>
      <rPr>
        <b/>
        <sz val="11"/>
        <color theme="1"/>
        <rFont val="Calibri"/>
        <family val="2"/>
        <scheme val="minor"/>
      </rPr>
      <t>Spearman’s correlation</t>
    </r>
    <r>
      <rPr>
        <sz val="11"/>
        <color theme="1"/>
        <rFont val="Calibri"/>
        <family val="2"/>
        <scheme val="minor"/>
      </rPr>
      <t xml:space="preserve"> when:</t>
    </r>
  </si>
  <si>
    <t>5. Sample size is small or distribution is skewed</t>
  </si>
  <si>
    <t>1. Data are ordinal (e.g., ranks, ratings)</t>
  </si>
  <si>
    <t>2. The relationship is monotonic but not linear</t>
  </si>
  <si>
    <t>3. Data contain outliers</t>
  </si>
  <si>
    <t>4. Normality assumption is violated</t>
  </si>
  <si>
    <t>• Conclusion</t>
  </si>
  <si>
    <r>
      <t xml:space="preserve">A correlation coefficient of </t>
    </r>
    <r>
      <rPr>
        <b/>
        <sz val="11"/>
        <color theme="1"/>
        <rFont val="Calibri"/>
        <family val="2"/>
        <scheme val="minor"/>
      </rPr>
      <t>0.85</t>
    </r>
    <r>
      <rPr>
        <sz val="11"/>
        <color theme="1"/>
        <rFont val="Calibri"/>
        <family val="2"/>
        <scheme val="minor"/>
      </rPr>
      <t xml:space="preserve"> indicates a </t>
    </r>
    <r>
      <rPr>
        <b/>
        <sz val="11"/>
        <color theme="1"/>
        <rFont val="Calibri"/>
        <family val="2"/>
        <scheme val="minor"/>
      </rPr>
      <t>strong positive linear relationship</t>
    </r>
    <r>
      <rPr>
        <sz val="11"/>
        <color theme="1"/>
        <rFont val="Calibri"/>
        <family val="2"/>
        <scheme val="minor"/>
      </rPr>
      <t xml:space="preserve"> between variables </t>
    </r>
    <r>
      <rPr>
        <b/>
        <sz val="11"/>
        <color theme="1"/>
        <rFont val="Calibri"/>
        <family val="2"/>
        <scheme val="minor"/>
      </rPr>
      <t>X</t>
    </r>
    <r>
      <rPr>
        <sz val="11"/>
        <color theme="1"/>
        <rFont val="Calibri"/>
        <family val="2"/>
        <scheme val="minor"/>
      </rPr>
      <t xml:space="preserve"> and </t>
    </r>
    <r>
      <rPr>
        <b/>
        <sz val="11"/>
        <color theme="1"/>
        <rFont val="Calibri"/>
        <family val="2"/>
        <scheme val="minor"/>
      </rPr>
      <t>Y</t>
    </r>
    <r>
      <rPr>
        <sz val="11"/>
        <color theme="1"/>
        <rFont val="Calibri"/>
        <family val="2"/>
        <scheme val="minor"/>
      </rPr>
      <t>.</t>
    </r>
  </si>
  <si>
    <r>
      <t xml:space="preserve">📌 </t>
    </r>
    <r>
      <rPr>
        <i/>
        <sz val="11"/>
        <color theme="1"/>
        <rFont val="Calibri"/>
        <family val="2"/>
        <scheme val="minor"/>
      </rPr>
      <t>Interpretation in context:</t>
    </r>
  </si>
  <si>
    <t>If X and Y represent measurable quantities (e.g., hours studied and exam score), a correlation of 0.85 suggests that higher values of X are strongly associated with higher values of Y.</t>
  </si>
  <si>
    <t>Interpretation of a Correlation Coefficient of 0.85</t>
  </si>
  <si>
    <r>
      <t xml:space="preserve">• As </t>
    </r>
    <r>
      <rPr>
        <b/>
        <sz val="11"/>
        <color theme="1"/>
        <rFont val="Calibri"/>
        <family val="2"/>
        <scheme val="minor"/>
      </rPr>
      <t>X increases</t>
    </r>
    <r>
      <rPr>
        <sz val="11"/>
        <color theme="1"/>
        <rFont val="Calibri"/>
        <family val="2"/>
        <scheme val="minor"/>
      </rPr>
      <t xml:space="preserve">, </t>
    </r>
    <r>
      <rPr>
        <b/>
        <sz val="11"/>
        <color theme="1"/>
        <rFont val="Calibri"/>
        <family val="2"/>
        <scheme val="minor"/>
      </rPr>
      <t>Y</t>
    </r>
    <r>
      <rPr>
        <sz val="11"/>
        <color theme="1"/>
        <rFont val="Calibri"/>
        <family val="2"/>
        <scheme val="minor"/>
      </rPr>
      <t xml:space="preserve"> tends to increase as well.</t>
    </r>
  </si>
  <si>
    <r>
      <t xml:space="preserve">• The value is close to </t>
    </r>
    <r>
      <rPr>
        <b/>
        <sz val="11"/>
        <color theme="1"/>
        <rFont val="Calibri"/>
        <family val="2"/>
        <scheme val="minor"/>
      </rPr>
      <t>+1</t>
    </r>
    <r>
      <rPr>
        <sz val="11"/>
        <color theme="1"/>
        <rFont val="Calibri"/>
        <family val="2"/>
        <scheme val="minor"/>
      </rPr>
      <t xml:space="preserve">, which means the relationship is </t>
    </r>
    <r>
      <rPr>
        <b/>
        <sz val="11"/>
        <color theme="1"/>
        <rFont val="Calibri"/>
        <family val="2"/>
        <scheme val="minor"/>
      </rPr>
      <t>strong</t>
    </r>
    <r>
      <rPr>
        <sz val="11"/>
        <color theme="1"/>
        <rFont val="Calibri"/>
        <family val="2"/>
        <scheme val="minor"/>
      </rPr>
      <t>, though not perfect.</t>
    </r>
  </si>
  <si>
    <r>
      <t xml:space="preserve">• Most of the variation in </t>
    </r>
    <r>
      <rPr>
        <b/>
        <sz val="11"/>
        <color theme="1"/>
        <rFont val="Calibri"/>
        <family val="2"/>
        <scheme val="minor"/>
      </rPr>
      <t>Y</t>
    </r>
    <r>
      <rPr>
        <sz val="11"/>
        <color theme="1"/>
        <rFont val="Calibri"/>
        <family val="2"/>
        <scheme val="minor"/>
      </rPr>
      <t xml:space="preserve"> is associated with variation in </t>
    </r>
    <r>
      <rPr>
        <b/>
        <sz val="11"/>
        <color theme="1"/>
        <rFont val="Calibri"/>
        <family val="2"/>
        <scheme val="minor"/>
      </rPr>
      <t>X</t>
    </r>
    <r>
      <rPr>
        <sz val="11"/>
        <color theme="1"/>
        <rFont val="Calibri"/>
        <family val="2"/>
        <scheme val="minor"/>
      </rPr>
      <t xml:space="preserve"> in a linear manner.</t>
    </r>
  </si>
  <si>
    <t>No, causation cannot be inferred from correlation alone.</t>
  </si>
  <si>
    <t>• Can You Infer Causation from This Value?</t>
  </si>
  <si>
    <t>Why Not?</t>
  </si>
  <si>
    <t>1. Direction of Influence Is Unclear</t>
  </si>
  <si>
    <t>Correlation does not indicate whether X causes Y or Y causes X.</t>
  </si>
  <si>
    <t>2. Third Variable Problem</t>
  </si>
  <si>
    <t>A third (lurking) variable may influence both X and Y, creating a strong correlation without direct causation.</t>
  </si>
  <si>
    <t>3. Coincidental Relationships</t>
  </si>
  <si>
    <t>Some correlations occur by chance, especially in observational data.</t>
  </si>
  <si>
    <t>4. Correlation Measures Association, Not Cause</t>
  </si>
  <si>
    <t>Correlation quantifies the strength of a relationship, not the underlying mechanism.</t>
  </si>
  <si>
    <t>A correlation coefficient of 0.85 shows a strong positive association between X and Y, but it does not imply that changes in X cause changes in Y.</t>
  </si>
  <si>
    <t xml:space="preserve"> Establishing causation requires controlled experiments, temporal evidence, and consideration of other influencing variables.</t>
  </si>
  <si>
    <r>
      <t xml:space="preserve">Since this is </t>
    </r>
    <r>
      <rPr>
        <b/>
        <sz val="11"/>
        <color theme="1"/>
        <rFont val="Calibri"/>
        <family val="2"/>
        <scheme val="minor"/>
      </rPr>
      <t>sample data</t>
    </r>
    <r>
      <rPr>
        <sz val="11"/>
        <color theme="1"/>
        <rFont val="Calibri"/>
        <family val="2"/>
        <scheme val="minor"/>
      </rPr>
      <t>, use:</t>
    </r>
  </si>
  <si>
    <t>Result</t>
  </si>
  <si>
    <r>
      <t>Sample Covariance</t>
    </r>
    <r>
      <rPr>
        <sz val="11"/>
        <color theme="1"/>
        <rFont val="Calibri"/>
        <family val="2"/>
        <scheme val="minor"/>
      </rPr>
      <t xml:space="preserve"> = </t>
    </r>
    <r>
      <rPr>
        <b/>
        <sz val="11"/>
        <color theme="1"/>
        <rFont val="Calibri"/>
        <family val="2"/>
        <scheme val="minor"/>
      </rPr>
      <t>6.33 (approximately)</t>
    </r>
  </si>
  <si>
    <t>=</t>
  </si>
  <si>
    <r>
      <t xml:space="preserve">• The covariance is </t>
    </r>
    <r>
      <rPr>
        <b/>
        <sz val="11"/>
        <color theme="1"/>
        <rFont val="Calibri"/>
        <family val="2"/>
        <scheme val="minor"/>
      </rPr>
      <t>positive</t>
    </r>
    <r>
      <rPr>
        <sz val="11"/>
        <color theme="1"/>
        <rFont val="Calibri"/>
        <family val="2"/>
        <scheme val="minor"/>
      </rPr>
      <t xml:space="preserve">, indicating that </t>
    </r>
    <r>
      <rPr>
        <b/>
        <sz val="11"/>
        <color theme="1"/>
        <rFont val="Calibri"/>
        <family val="2"/>
        <scheme val="minor"/>
      </rPr>
      <t>X and Y tend to increase together</t>
    </r>
    <r>
      <rPr>
        <sz val="11"/>
        <color theme="1"/>
        <rFont val="Calibri"/>
        <family val="2"/>
        <scheme val="minor"/>
      </rPr>
      <t>.</t>
    </r>
  </si>
  <si>
    <t>Final Answer (Excel)</t>
  </si>
  <si>
    <t>• Use Excel Covariance Formula</t>
  </si>
  <si>
    <t>• Result</t>
  </si>
  <si>
    <t>• Interpretation</t>
  </si>
  <si>
    <t>• Final Answer (Excel)</t>
  </si>
  <si>
    <t>• Use Excel Pearson Correlation Formula</t>
  </si>
  <si>
    <r>
      <t xml:space="preserve">• The Pearson correlation coefficient is </t>
    </r>
    <r>
      <rPr>
        <b/>
        <sz val="11"/>
        <color theme="1"/>
        <rFont val="Calibri"/>
        <family val="2"/>
        <scheme val="minor"/>
      </rPr>
      <t>approximately 0.997</t>
    </r>
    <r>
      <rPr>
        <sz val="11"/>
        <color theme="1"/>
        <rFont val="Calibri"/>
        <family val="2"/>
        <scheme val="minor"/>
      </rPr>
      <t xml:space="preserve">, which indicates a </t>
    </r>
    <r>
      <rPr>
        <b/>
        <sz val="11"/>
        <color theme="1"/>
        <rFont val="Calibri"/>
        <family val="2"/>
        <scheme val="minor"/>
      </rPr>
      <t>very strong positive linear relationship</t>
    </r>
    <r>
      <rPr>
        <sz val="11"/>
        <color theme="1"/>
        <rFont val="Calibri"/>
        <family val="2"/>
        <scheme val="minor"/>
      </rPr>
      <t xml:space="preserve"> between variables </t>
    </r>
    <r>
      <rPr>
        <b/>
        <sz val="11"/>
        <color theme="1"/>
        <rFont val="Calibri"/>
        <family val="2"/>
        <scheme val="minor"/>
      </rPr>
      <t>A and B</t>
    </r>
    <r>
      <rPr>
        <sz val="11"/>
        <color theme="1"/>
        <rFont val="Calibri"/>
        <family val="2"/>
        <scheme val="minor"/>
      </rPr>
      <t>.</t>
    </r>
  </si>
  <si>
    <r>
      <t xml:space="preserve">• As </t>
    </r>
    <r>
      <rPr>
        <b/>
        <sz val="11"/>
        <color theme="1"/>
        <rFont val="Calibri"/>
        <family val="2"/>
        <scheme val="minor"/>
      </rPr>
      <t>A increases</t>
    </r>
    <r>
      <rPr>
        <sz val="11"/>
        <color theme="1"/>
        <rFont val="Calibri"/>
        <family val="2"/>
        <scheme val="minor"/>
      </rPr>
      <t xml:space="preserve">, </t>
    </r>
    <r>
      <rPr>
        <b/>
        <sz val="11"/>
        <color theme="1"/>
        <rFont val="Calibri"/>
        <family val="2"/>
        <scheme val="minor"/>
      </rPr>
      <t>B increases almost perfectly in a linear manner</t>
    </r>
    <r>
      <rPr>
        <sz val="11"/>
        <color theme="1"/>
        <rFont val="Calibri"/>
        <family val="2"/>
        <scheme val="minor"/>
      </rPr>
      <t>.</t>
    </r>
  </si>
  <si>
    <t>Pearson correlation coefficient ≈ 0.997 (strong positive correlation)</t>
  </si>
  <si>
    <t>• Final Answer</t>
  </si>
  <si>
    <t>The following table shows heights (in cm) and weights (in kg) of 5 students.</t>
  </si>
  <si>
    <t>Use Excel Correlation Formula</t>
  </si>
  <si>
    <r>
      <t xml:space="preserve">• The correlation coefficient is </t>
    </r>
    <r>
      <rPr>
        <b/>
        <sz val="11"/>
        <color theme="1"/>
        <rFont val="Calibri"/>
        <family val="2"/>
        <scheme val="minor"/>
      </rPr>
      <t>approximately 0.99</t>
    </r>
    <r>
      <rPr>
        <sz val="11"/>
        <color theme="1"/>
        <rFont val="Calibri"/>
        <family val="2"/>
        <scheme val="minor"/>
      </rPr>
      <t>.</t>
    </r>
  </si>
  <si>
    <r>
      <t xml:space="preserve">• This indicates a </t>
    </r>
    <r>
      <rPr>
        <b/>
        <sz val="11"/>
        <color theme="1"/>
        <rFont val="Calibri"/>
        <family val="2"/>
        <scheme val="minor"/>
      </rPr>
      <t>very strong positive linear relationship</t>
    </r>
    <r>
      <rPr>
        <sz val="11"/>
        <color theme="1"/>
        <rFont val="Calibri"/>
        <family val="2"/>
        <scheme val="minor"/>
      </rPr>
      <t xml:space="preserve"> between height and weight.</t>
    </r>
  </si>
  <si>
    <t>Correlation coefficient ≈ 0.99 (strong positive correlation)</t>
  </si>
  <si>
    <t>Given the dataset below, determine whether there is a positive or negative correlation between X and Y.</t>
  </si>
  <si>
    <t>Step 1: Observe the trend</t>
  </si>
  <si>
    <r>
      <t xml:space="preserve">As </t>
    </r>
    <r>
      <rPr>
        <b/>
        <sz val="11"/>
        <color theme="1"/>
        <rFont val="Calibri"/>
        <family val="2"/>
        <scheme val="minor"/>
      </rPr>
      <t>X increases</t>
    </r>
    <r>
      <rPr>
        <sz val="11"/>
        <color theme="1"/>
        <rFont val="Calibri"/>
        <family val="2"/>
        <scheme val="minor"/>
      </rPr>
      <t xml:space="preserve"> from 1 → 5, </t>
    </r>
    <r>
      <rPr>
        <b/>
        <sz val="11"/>
        <color theme="1"/>
        <rFont val="Calibri"/>
        <family val="2"/>
        <scheme val="minor"/>
      </rPr>
      <t>Y decreases</t>
    </r>
    <r>
      <rPr>
        <sz val="11"/>
        <color theme="1"/>
        <rFont val="Calibri"/>
        <family val="2"/>
        <scheme val="minor"/>
      </rPr>
      <t xml:space="preserve"> from 15 → 3.</t>
    </r>
  </si>
  <si>
    <t>Step 2: Reason about correlation</t>
  </si>
  <si>
    <r>
      <t xml:space="preserve">When one variable increases and the other decreases, the correlation is </t>
    </r>
    <r>
      <rPr>
        <b/>
        <sz val="11"/>
        <color theme="1"/>
        <rFont val="Calibri"/>
        <family val="2"/>
        <scheme val="minor"/>
      </rPr>
      <t>negative</t>
    </r>
    <r>
      <rPr>
        <sz val="11"/>
        <color theme="1"/>
        <rFont val="Calibri"/>
        <family val="2"/>
        <scheme val="minor"/>
      </rPr>
      <t>.</t>
    </r>
  </si>
  <si>
    <r>
      <t xml:space="preserve">Therefore, </t>
    </r>
    <r>
      <rPr>
        <b/>
        <sz val="11"/>
        <color theme="1"/>
        <rFont val="Calibri"/>
        <family val="2"/>
        <scheme val="minor"/>
      </rPr>
      <t>X and Y have a negative correlation</t>
    </r>
    <r>
      <rPr>
        <sz val="11"/>
        <color theme="1"/>
        <rFont val="Calibri"/>
        <family val="2"/>
        <scheme val="minor"/>
      </rPr>
      <t>.</t>
    </r>
  </si>
  <si>
    <t>Step 3: Optional in Excel</t>
  </si>
  <si>
    <t>If you wanted to check this in Excel:</t>
  </si>
  <si>
    <t>1. Enter X in column A and Y in column B.</t>
  </si>
  <si>
    <t>2. Use the formula:</t>
  </si>
  <si>
    <t>This will give a negative value, confirming the negative correlation.</t>
  </si>
  <si>
    <t>✅ Answer: Negative correlation</t>
  </si>
  <si>
    <t>1. In Excel, select a cell and type:</t>
  </si>
  <si>
    <t>• Compute Covariance</t>
  </si>
  <si>
    <r>
      <t xml:space="preserve">Use </t>
    </r>
    <r>
      <rPr>
        <sz val="10"/>
        <color theme="1"/>
        <rFont val="Arial Unicode MS"/>
      </rPr>
      <t>COVARIANCE.P</t>
    </r>
    <r>
      <rPr>
        <sz val="11"/>
        <color theme="1"/>
        <rFont val="Calibri"/>
        <family val="2"/>
        <scheme val="minor"/>
      </rPr>
      <t xml:space="preserve"> for the population covariance (or </t>
    </r>
    <r>
      <rPr>
        <sz val="10"/>
        <color theme="1"/>
        <rFont val="Arial Unicode MS"/>
      </rPr>
      <t>COVARIANCE.S</t>
    </r>
    <r>
      <rPr>
        <sz val="11"/>
        <color theme="1"/>
        <rFont val="Calibri"/>
        <family val="2"/>
        <scheme val="minor"/>
      </rPr>
      <t xml:space="preserve"> if you consider it a sample).</t>
    </r>
  </si>
  <si>
    <t>Let's calculate manually quickly:</t>
  </si>
  <si>
    <t>• Mean of Portfolio A = (8+10+12+9+11)/5 = 50/5 = 10</t>
  </si>
  <si>
    <t>• Mean of Portfolio B = (6+9+11+8+10)/5 = 44/5 = 8.8</t>
  </si>
  <si>
    <t>• Covariance Result:</t>
  </si>
  <si>
    <t>Compute deviations product:</t>
  </si>
  <si>
    <t>A_i-mean</t>
  </si>
  <si>
    <t>B_i-mean</t>
  </si>
  <si>
    <t>Product</t>
  </si>
  <si>
    <t>8-10=-2</t>
  </si>
  <si>
    <t>6-8.8=-2.8</t>
  </si>
  <si>
    <t>10-10=0</t>
  </si>
  <si>
    <t>9-8.8=0.2</t>
  </si>
  <si>
    <t>12-10=2</t>
  </si>
  <si>
    <t>11-8.8=2.2</t>
  </si>
  <si>
    <t>9-10=-1</t>
  </si>
  <si>
    <t>8-8.8=-0.8</t>
  </si>
  <si>
    <t>11-10=1</t>
  </si>
  <si>
    <t>10-8.8=1.2</t>
  </si>
  <si>
    <t>Sum of products = 5.6 + 0 + 4.4 + 0.8 + 1.2 = 12</t>
  </si>
  <si>
    <r>
      <t xml:space="preserve">Covariance (population) = 12 / 5 = </t>
    </r>
    <r>
      <rPr>
        <b/>
        <sz val="11"/>
        <color theme="1"/>
        <rFont val="Calibri"/>
        <family val="2"/>
        <scheme val="minor"/>
      </rPr>
      <t>2.4</t>
    </r>
  </si>
  <si>
    <t>Compute Correlation Coefficient</t>
  </si>
  <si>
    <t>1. In Excel,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</si>
</sst>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0.000000"/>
    <numFmt numFmtId="172" formatCode="0.0000"/>
  </numFmts>
  <fonts count="8">
    <font>
      <sz val="11"/>
      <color theme="1"/>
      <name val="Calibri"/>
      <family val="2"/>
      <scheme val="minor"/>
    </font>
    <font>
      <b/>
      <sz val="16"/>
      <color theme="1"/>
      <name val="Calibri"/>
      <family val="2"/>
      <scheme val="minor"/>
    </font>
    <font>
      <sz val="8"/>
      <name val="Calibri"/>
      <family val="2"/>
      <scheme val="minor"/>
    </font>
    <font>
      <b/>
      <sz val="11"/>
      <color theme="1"/>
      <name val="Calibri"/>
      <family val="2"/>
      <scheme val="minor"/>
    </font>
    <font>
      <b/>
      <sz val="13.5"/>
      <color theme="1"/>
      <name val="Calibri"/>
      <family val="2"/>
      <scheme val="minor"/>
    </font>
    <font>
      <i/>
      <sz val="11"/>
      <color theme="1"/>
      <name val="Calibri"/>
      <family val="2"/>
      <scheme val="minor"/>
    </font>
    <font>
      <b/>
      <sz val="12"/>
      <color theme="1"/>
      <name val="Calibri"/>
      <family val="2"/>
      <scheme val="minor"/>
    </font>
    <font>
      <sz val="10"/>
      <color theme="1"/>
      <name val="Arial Unicode MS"/>
    </font>
  </fonts>
  <fills count="3">
    <fill>
      <patternFill patternType="none"/>
    </fill>
    <fill>
      <patternFill patternType="gray125"/>
    </fill>
    <fill>
      <patternFill patternType="solid">
        <fgColor rgb="FFFFFF00"/>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xf numFmtId="0" fontId="1" fillId="0" borderId="9"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3" fillId="2" borderId="9" xfId="0" applyFont="1" applyFill="1" applyBorder="1" applyAlignment="1">
      <alignment horizontal="center" vertical="center"/>
    </xf>
    <xf numFmtId="0" fontId="3" fillId="0" borderId="9" xfId="0" applyFont="1" applyBorder="1" applyAlignment="1">
      <alignment horizontal="center" vertical="center"/>
    </xf>
    <xf numFmtId="0" fontId="0" fillId="0" borderId="9" xfId="0" applyBorder="1" applyAlignment="1">
      <alignment horizontal="center" vertical="center"/>
    </xf>
    <xf numFmtId="0" fontId="4" fillId="0" borderId="0" xfId="0" applyFont="1" applyAlignment="1">
      <alignment vertical="center"/>
    </xf>
    <xf numFmtId="0" fontId="0" fillId="0" borderId="0" xfId="0" applyAlignment="1">
      <alignment horizontal="left" vertical="center" indent="1"/>
    </xf>
    <xf numFmtId="0" fontId="3" fillId="0" borderId="0" xfId="0" applyFont="1"/>
    <xf numFmtId="0" fontId="3"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xf>
    <xf numFmtId="0" fontId="6" fillId="2" borderId="9" xfId="0" applyFont="1" applyFill="1" applyBorder="1" applyAlignment="1">
      <alignment horizontal="center" vertical="center"/>
    </xf>
    <xf numFmtId="0" fontId="0" fillId="0" borderId="0" xfId="0" applyAlignment="1">
      <alignment horizontal="right"/>
    </xf>
    <xf numFmtId="170" fontId="0" fillId="0" borderId="0" xfId="0" applyNumberFormat="1"/>
    <xf numFmtId="172" fontId="0" fillId="0" borderId="0" xfId="0" applyNumberFormat="1"/>
    <xf numFmtId="0" fontId="6" fillId="0" borderId="0" xfId="0" applyFont="1" applyAlignment="1">
      <alignment horizontal="right"/>
    </xf>
    <xf numFmtId="2" fontId="6" fillId="0" borderId="0" xfId="0" applyNumberFormat="1" applyFont="1"/>
    <xf numFmtId="0" fontId="0" fillId="0" borderId="9"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323850</xdr:colOff>
      <xdr:row>14</xdr:row>
      <xdr:rowOff>0</xdr:rowOff>
    </xdr:from>
    <xdr:to>
      <xdr:col>3</xdr:col>
      <xdr:colOff>2600786</xdr:colOff>
      <xdr:row>16</xdr:row>
      <xdr:rowOff>152474</xdr:rowOff>
    </xdr:to>
    <xdr:pic>
      <xdr:nvPicPr>
        <xdr:cNvPr id="2" name="Picture 1">
          <a:extLst>
            <a:ext uri="{FF2B5EF4-FFF2-40B4-BE49-F238E27FC236}">
              <a16:creationId xmlns:a16="http://schemas.microsoft.com/office/drawing/2014/main" id="{4255F65F-3EEC-70A5-CE43-1FDCB2C1F519}"/>
            </a:ext>
          </a:extLst>
        </xdr:cNvPr>
        <xdr:cNvPicPr>
          <a:picLocks noChangeAspect="1"/>
        </xdr:cNvPicPr>
      </xdr:nvPicPr>
      <xdr:blipFill>
        <a:blip xmlns:r="http://schemas.openxmlformats.org/officeDocument/2006/relationships" r:embed="rId1"/>
        <a:stretch>
          <a:fillRect/>
        </a:stretch>
      </xdr:blipFill>
      <xdr:spPr>
        <a:xfrm>
          <a:off x="1543050" y="3124200"/>
          <a:ext cx="3305636" cy="5334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74</xdr:row>
      <xdr:rowOff>190499</xdr:rowOff>
    </xdr:from>
    <xdr:to>
      <xdr:col>8</xdr:col>
      <xdr:colOff>38100</xdr:colOff>
      <xdr:row>79</xdr:row>
      <xdr:rowOff>28574</xdr:rowOff>
    </xdr:to>
    <xdr:sp macro="" textlink="">
      <xdr:nvSpPr>
        <xdr:cNvPr id="4097" name="Text Box 1">
          <a:extLst>
            <a:ext uri="{FF2B5EF4-FFF2-40B4-BE49-F238E27FC236}">
              <a16:creationId xmlns:a16="http://schemas.microsoft.com/office/drawing/2014/main" id="{485DB39E-87CA-2C6D-6F50-CCC1451C4E2F}"/>
            </a:ext>
          </a:extLst>
        </xdr:cNvPr>
        <xdr:cNvSpPr txBox="1">
          <a:spLocks noChangeArrowheads="1"/>
        </xdr:cNvSpPr>
      </xdr:nvSpPr>
      <xdr:spPr bwMode="auto">
        <a:xfrm>
          <a:off x="2343150" y="14678024"/>
          <a:ext cx="8058150" cy="790575"/>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200" b="0" i="0" u="none" strike="noStrike" baseline="0">
              <a:solidFill>
                <a:srgbClr val="000000"/>
              </a:solidFill>
              <a:latin typeface="Calibri"/>
              <a:ea typeface="Calibri"/>
              <a:cs typeface="Calibri"/>
            </a:rPr>
            <a:t>Pearson’s correlation is best for measuring linear relationships in normally distributed data, while Spearman’s correlation is preferred when data are ranked, non-normal, contain outliers, or follow a monotonic but non-linear relationship.</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24</xdr:row>
      <xdr:rowOff>19050</xdr:rowOff>
    </xdr:from>
    <xdr:to>
      <xdr:col>6</xdr:col>
      <xdr:colOff>447993</xdr:colOff>
      <xdr:row>25</xdr:row>
      <xdr:rowOff>38129</xdr:rowOff>
    </xdr:to>
    <xdr:pic>
      <xdr:nvPicPr>
        <xdr:cNvPr id="2" name="Picture 1">
          <a:extLst>
            <a:ext uri="{FF2B5EF4-FFF2-40B4-BE49-F238E27FC236}">
              <a16:creationId xmlns:a16="http://schemas.microsoft.com/office/drawing/2014/main" id="{46827626-7308-228A-37A4-8A84E0C10B1E}"/>
            </a:ext>
          </a:extLst>
        </xdr:cNvPr>
        <xdr:cNvPicPr>
          <a:picLocks noChangeAspect="1"/>
        </xdr:cNvPicPr>
      </xdr:nvPicPr>
      <xdr:blipFill>
        <a:blip xmlns:r="http://schemas.openxmlformats.org/officeDocument/2006/relationships" r:embed="rId1"/>
        <a:stretch>
          <a:fillRect/>
        </a:stretch>
      </xdr:blipFill>
      <xdr:spPr>
        <a:xfrm>
          <a:off x="2057400" y="5410200"/>
          <a:ext cx="2276793" cy="20957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47625</xdr:colOff>
      <xdr:row>13</xdr:row>
      <xdr:rowOff>19050</xdr:rowOff>
    </xdr:from>
    <xdr:to>
      <xdr:col>2</xdr:col>
      <xdr:colOff>838310</xdr:colOff>
      <xdr:row>13</xdr:row>
      <xdr:rowOff>171471</xdr:rowOff>
    </xdr:to>
    <xdr:pic>
      <xdr:nvPicPr>
        <xdr:cNvPr id="2" name="Picture 1">
          <a:extLst>
            <a:ext uri="{FF2B5EF4-FFF2-40B4-BE49-F238E27FC236}">
              <a16:creationId xmlns:a16="http://schemas.microsoft.com/office/drawing/2014/main" id="{70DE925D-D433-509B-AF94-2DAE0DA58077}"/>
            </a:ext>
          </a:extLst>
        </xdr:cNvPr>
        <xdr:cNvPicPr>
          <a:picLocks noChangeAspect="1"/>
        </xdr:cNvPicPr>
      </xdr:nvPicPr>
      <xdr:blipFill>
        <a:blip xmlns:r="http://schemas.openxmlformats.org/officeDocument/2006/relationships" r:embed="rId1"/>
        <a:stretch>
          <a:fillRect/>
        </a:stretch>
      </xdr:blipFill>
      <xdr:spPr>
        <a:xfrm>
          <a:off x="1628775" y="3048000"/>
          <a:ext cx="790685" cy="1524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66675</xdr:colOff>
      <xdr:row>14</xdr:row>
      <xdr:rowOff>0</xdr:rowOff>
    </xdr:from>
    <xdr:to>
      <xdr:col>3</xdr:col>
      <xdr:colOff>762097</xdr:colOff>
      <xdr:row>15</xdr:row>
      <xdr:rowOff>9553</xdr:rowOff>
    </xdr:to>
    <xdr:pic>
      <xdr:nvPicPr>
        <xdr:cNvPr id="2" name="Picture 1">
          <a:extLst>
            <a:ext uri="{FF2B5EF4-FFF2-40B4-BE49-F238E27FC236}">
              <a16:creationId xmlns:a16="http://schemas.microsoft.com/office/drawing/2014/main" id="{70116D01-F282-0DC1-618E-61E43FFE7663}"/>
            </a:ext>
          </a:extLst>
        </xdr:cNvPr>
        <xdr:cNvPicPr>
          <a:picLocks noChangeAspect="1"/>
        </xdr:cNvPicPr>
      </xdr:nvPicPr>
      <xdr:blipFill>
        <a:blip xmlns:r="http://schemas.openxmlformats.org/officeDocument/2006/relationships" r:embed="rId1"/>
        <a:stretch>
          <a:fillRect/>
        </a:stretch>
      </xdr:blipFill>
      <xdr:spPr>
        <a:xfrm>
          <a:off x="2657475" y="3152775"/>
          <a:ext cx="695422" cy="2000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37"/>
  <sheetViews>
    <sheetView workbookViewId="0">
      <selection activeCell="D42" sqref="D42"/>
    </sheetView>
  </sheetViews>
  <sheetFormatPr defaultRowHeight="15"/>
  <cols>
    <col min="3" max="3" width="15.42578125" customWidth="1"/>
    <col min="4" max="4" width="49.7109375" customWidth="1"/>
    <col min="5" max="5" width="35.5703125" customWidth="1"/>
    <col min="6" max="6" width="17.140625" bestFit="1" customWidth="1"/>
    <col min="7" max="7" width="10" bestFit="1" customWidth="1"/>
    <col min="8" max="8" width="8" bestFit="1" customWidth="1"/>
  </cols>
  <sheetData>
    <row r="2" spans="1:3" ht="21">
      <c r="A2" s="1" t="s">
        <v>0</v>
      </c>
      <c r="B2" s="1" t="s">
        <v>2</v>
      </c>
    </row>
    <row r="4" spans="1:3" ht="21">
      <c r="A4" s="1" t="s">
        <v>1</v>
      </c>
    </row>
    <row r="5" spans="1:3" ht="21">
      <c r="A5" s="1"/>
      <c r="B5" s="1" t="s">
        <v>25</v>
      </c>
    </row>
    <row r="6" spans="1:3" ht="21">
      <c r="A6" s="1"/>
    </row>
    <row r="7" spans="1:3" ht="21">
      <c r="A7" s="1"/>
      <c r="C7" t="s">
        <v>21</v>
      </c>
    </row>
    <row r="8" spans="1:3" ht="21">
      <c r="A8" s="1"/>
    </row>
    <row r="9" spans="1:3">
      <c r="C9" t="s">
        <v>22</v>
      </c>
    </row>
    <row r="11" spans="1:3">
      <c r="C11" t="s">
        <v>23</v>
      </c>
    </row>
    <row r="13" spans="1:3">
      <c r="C13" t="s">
        <v>24</v>
      </c>
    </row>
    <row r="19" spans="2:5">
      <c r="C19" s="11" t="s">
        <v>26</v>
      </c>
      <c r="D19" s="11" t="s">
        <v>27</v>
      </c>
      <c r="E19" s="11" t="s">
        <v>28</v>
      </c>
    </row>
    <row r="20" spans="2:5">
      <c r="C20" s="12" t="s">
        <v>29</v>
      </c>
      <c r="D20" s="13" t="s">
        <v>30</v>
      </c>
      <c r="E20" s="13" t="s">
        <v>31</v>
      </c>
    </row>
    <row r="21" spans="2:5">
      <c r="C21" s="12" t="s">
        <v>32</v>
      </c>
      <c r="D21" s="13" t="s">
        <v>33</v>
      </c>
      <c r="E21" s="13" t="s">
        <v>34</v>
      </c>
    </row>
    <row r="22" spans="2:5">
      <c r="C22" s="12" t="s">
        <v>35</v>
      </c>
      <c r="D22" s="13" t="s">
        <v>36</v>
      </c>
      <c r="E22" s="13" t="s">
        <v>37</v>
      </c>
    </row>
    <row r="23" spans="2:5">
      <c r="C23" s="12" t="s">
        <v>38</v>
      </c>
      <c r="D23" s="13" t="s">
        <v>39</v>
      </c>
      <c r="E23" s="13" t="s">
        <v>40</v>
      </c>
    </row>
    <row r="25" spans="2:5" ht="18">
      <c r="B25" s="14" t="s">
        <v>41</v>
      </c>
    </row>
    <row r="26" spans="2:5">
      <c r="B26" s="15"/>
    </row>
    <row r="27" spans="2:5">
      <c r="C27" s="17" t="s">
        <v>44</v>
      </c>
    </row>
    <row r="28" spans="2:5">
      <c r="C28" s="15"/>
    </row>
    <row r="29" spans="2:5">
      <c r="C29" s="17" t="s">
        <v>45</v>
      </c>
    </row>
    <row r="31" spans="2:5">
      <c r="B31" t="s">
        <v>42</v>
      </c>
    </row>
    <row r="33" spans="2:3">
      <c r="C33" t="s">
        <v>43</v>
      </c>
    </row>
    <row r="35" spans="2:3" ht="18">
      <c r="B35" s="14" t="s">
        <v>46</v>
      </c>
    </row>
    <row r="36" spans="2:3">
      <c r="B36" s="15"/>
    </row>
    <row r="37" spans="2:3">
      <c r="C37" s="15" t="s">
        <v>47</v>
      </c>
    </row>
  </sheetData>
  <phoneticPr fontId="2"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FD0E2-6D4A-430B-BCAF-E090A0F85436}">
  <dimension ref="A2:D48"/>
  <sheetViews>
    <sheetView topLeftCell="A22" workbookViewId="0">
      <selection activeCell="C48" sqref="C48"/>
    </sheetView>
  </sheetViews>
  <sheetFormatPr defaultRowHeight="15"/>
  <cols>
    <col min="2" max="2" width="11.28515625" customWidth="1"/>
    <col min="3" max="3" width="19.42578125" customWidth="1"/>
    <col min="4" max="4" width="36.42578125" customWidth="1"/>
    <col min="6" max="6" width="13.5703125" customWidth="1"/>
  </cols>
  <sheetData>
    <row r="2" spans="1:3" ht="21">
      <c r="A2" s="1" t="s">
        <v>0</v>
      </c>
      <c r="B2" s="1" t="s">
        <v>3</v>
      </c>
    </row>
    <row r="4" spans="1:3" ht="21">
      <c r="A4" s="1" t="s">
        <v>1</v>
      </c>
    </row>
    <row r="6" spans="1:3" ht="18">
      <c r="B6" s="14" t="s">
        <v>48</v>
      </c>
    </row>
    <row r="8" spans="1:3">
      <c r="C8" t="s">
        <v>49</v>
      </c>
    </row>
    <row r="10" spans="1:3" ht="18">
      <c r="B10" s="14" t="s">
        <v>50</v>
      </c>
    </row>
    <row r="11" spans="1:3">
      <c r="B11" s="15"/>
    </row>
    <row r="12" spans="1:3">
      <c r="C12" s="15" t="s">
        <v>57</v>
      </c>
    </row>
    <row r="13" spans="1:3">
      <c r="C13" s="15"/>
    </row>
    <row r="14" spans="1:3">
      <c r="C14" s="15" t="s">
        <v>58</v>
      </c>
    </row>
    <row r="16" spans="1:3">
      <c r="C16" s="16" t="s">
        <v>51</v>
      </c>
    </row>
    <row r="17" spans="2:4">
      <c r="D17" t="s">
        <v>52</v>
      </c>
    </row>
    <row r="21" spans="2:4" ht="18">
      <c r="B21" s="14" t="s">
        <v>53</v>
      </c>
    </row>
    <row r="22" spans="2:4">
      <c r="B22" s="15"/>
    </row>
    <row r="23" spans="2:4">
      <c r="C23" s="15" t="s">
        <v>59</v>
      </c>
    </row>
    <row r="24" spans="2:4">
      <c r="C24" s="15"/>
    </row>
    <row r="25" spans="2:4">
      <c r="C25" s="15" t="s">
        <v>60</v>
      </c>
    </row>
    <row r="27" spans="2:4">
      <c r="C27" s="16" t="s">
        <v>51</v>
      </c>
    </row>
    <row r="28" spans="2:4">
      <c r="D28" t="s">
        <v>54</v>
      </c>
    </row>
    <row r="32" spans="2:4" ht="18">
      <c r="B32" s="14" t="s">
        <v>55</v>
      </c>
    </row>
    <row r="33" spans="2:4">
      <c r="B33" s="15"/>
    </row>
    <row r="34" spans="2:4">
      <c r="C34" s="15" t="s">
        <v>61</v>
      </c>
    </row>
    <row r="35" spans="2:4">
      <c r="C35" s="15"/>
    </row>
    <row r="36" spans="2:4">
      <c r="C36" s="15" t="s">
        <v>62</v>
      </c>
    </row>
    <row r="38" spans="2:4">
      <c r="C38" s="16" t="s">
        <v>51</v>
      </c>
    </row>
    <row r="39" spans="2:4">
      <c r="D39" t="s">
        <v>56</v>
      </c>
    </row>
    <row r="41" spans="2:4">
      <c r="C41" s="11" t="s">
        <v>63</v>
      </c>
      <c r="D41" s="11" t="s">
        <v>64</v>
      </c>
    </row>
    <row r="42" spans="2:4">
      <c r="C42" s="12" t="s">
        <v>65</v>
      </c>
      <c r="D42" s="13" t="s">
        <v>66</v>
      </c>
    </row>
    <row r="43" spans="2:4">
      <c r="C43" s="12" t="s">
        <v>67</v>
      </c>
      <c r="D43" s="13" t="s">
        <v>68</v>
      </c>
    </row>
    <row r="44" spans="2:4">
      <c r="C44" s="12" t="s">
        <v>69</v>
      </c>
      <c r="D44" s="13" t="s">
        <v>70</v>
      </c>
    </row>
    <row r="46" spans="2:4" ht="18">
      <c r="B46" s="14" t="s">
        <v>71</v>
      </c>
    </row>
    <row r="48" spans="2:4">
      <c r="C48"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419CF-EA11-48E0-91D8-802050130905}">
  <dimension ref="A2:E71"/>
  <sheetViews>
    <sheetView workbookViewId="0">
      <selection activeCell="E67" sqref="E67"/>
    </sheetView>
  </sheetViews>
  <sheetFormatPr defaultRowHeight="15"/>
  <cols>
    <col min="6" max="6" width="13.140625" customWidth="1"/>
  </cols>
  <sheetData>
    <row r="2" spans="1:5" ht="21">
      <c r="A2" s="1" t="s">
        <v>0</v>
      </c>
      <c r="B2" s="1" t="s">
        <v>4</v>
      </c>
    </row>
    <row r="4" spans="1:5" ht="21">
      <c r="A4" s="1" t="s">
        <v>1</v>
      </c>
    </row>
    <row r="6" spans="1:5" ht="18">
      <c r="B6" s="14" t="s">
        <v>90</v>
      </c>
    </row>
    <row r="8" spans="1:5">
      <c r="C8" t="s">
        <v>73</v>
      </c>
    </row>
    <row r="9" spans="1:5">
      <c r="C9" s="15"/>
    </row>
    <row r="10" spans="1:5">
      <c r="D10" s="17" t="s">
        <v>74</v>
      </c>
    </row>
    <row r="11" spans="1:5">
      <c r="D11" s="18"/>
    </row>
    <row r="12" spans="1:5">
      <c r="E12" s="18" t="s">
        <v>75</v>
      </c>
    </row>
    <row r="13" spans="1:5">
      <c r="E13" s="18"/>
    </row>
    <row r="14" spans="1:5">
      <c r="E14" s="18" t="s">
        <v>76</v>
      </c>
    </row>
    <row r="15" spans="1:5">
      <c r="D15" s="15"/>
    </row>
    <row r="16" spans="1:5">
      <c r="D16" s="17" t="s">
        <v>77</v>
      </c>
    </row>
    <row r="17" spans="4:5">
      <c r="D17" s="18"/>
    </row>
    <row r="18" spans="4:5">
      <c r="E18" s="18" t="s">
        <v>78</v>
      </c>
    </row>
    <row r="19" spans="4:5">
      <c r="E19" s="18"/>
    </row>
    <row r="20" spans="4:5">
      <c r="E20" s="18" t="s">
        <v>79</v>
      </c>
    </row>
    <row r="21" spans="4:5">
      <c r="D21" s="15"/>
    </row>
    <row r="22" spans="4:5">
      <c r="D22" s="17" t="s">
        <v>80</v>
      </c>
    </row>
    <row r="23" spans="4:5">
      <c r="D23" s="18"/>
    </row>
    <row r="24" spans="4:5">
      <c r="E24" s="18" t="s">
        <v>81</v>
      </c>
    </row>
    <row r="25" spans="4:5">
      <c r="D25" s="15"/>
    </row>
    <row r="26" spans="4:5">
      <c r="D26" s="17" t="s">
        <v>82</v>
      </c>
    </row>
    <row r="27" spans="4:5">
      <c r="D27" s="18"/>
    </row>
    <row r="28" spans="4:5">
      <c r="E28" s="18" t="s">
        <v>83</v>
      </c>
    </row>
    <row r="29" spans="4:5">
      <c r="D29" s="15"/>
    </row>
    <row r="30" spans="4:5">
      <c r="D30" s="17" t="s">
        <v>84</v>
      </c>
    </row>
    <row r="31" spans="4:5">
      <c r="D31" s="18"/>
    </row>
    <row r="32" spans="4:5">
      <c r="E32" s="18" t="s">
        <v>85</v>
      </c>
    </row>
    <row r="33" spans="2:5">
      <c r="D33" s="15"/>
    </row>
    <row r="34" spans="2:5">
      <c r="D34" s="17" t="s">
        <v>86</v>
      </c>
    </row>
    <row r="35" spans="2:5">
      <c r="D35" s="18"/>
    </row>
    <row r="36" spans="2:5">
      <c r="E36" s="18" t="s">
        <v>87</v>
      </c>
    </row>
    <row r="38" spans="2:5" ht="18">
      <c r="D38" s="14" t="s">
        <v>46</v>
      </c>
    </row>
    <row r="39" spans="2:5">
      <c r="D39" s="15"/>
    </row>
    <row r="40" spans="2:5">
      <c r="E40" s="15" t="s">
        <v>88</v>
      </c>
    </row>
    <row r="41" spans="2:5">
      <c r="E41" s="19" t="s">
        <v>89</v>
      </c>
    </row>
    <row r="43" spans="2:5" ht="18">
      <c r="B43" s="14" t="s">
        <v>104</v>
      </c>
    </row>
    <row r="45" spans="2:5">
      <c r="C45" t="s">
        <v>91</v>
      </c>
    </row>
    <row r="46" spans="2:5">
      <c r="C46" s="15"/>
    </row>
    <row r="47" spans="2:5">
      <c r="D47" s="17" t="s">
        <v>92</v>
      </c>
    </row>
    <row r="48" spans="2:5">
      <c r="D48" s="18"/>
    </row>
    <row r="49" spans="4:5">
      <c r="E49" s="18" t="s">
        <v>93</v>
      </c>
    </row>
    <row r="50" spans="4:5">
      <c r="E50" s="18"/>
    </row>
    <row r="51" spans="4:5">
      <c r="E51" s="18" t="s">
        <v>94</v>
      </c>
    </row>
    <row r="52" spans="4:5">
      <c r="D52" s="15"/>
    </row>
    <row r="53" spans="4:5">
      <c r="D53" s="17" t="s">
        <v>95</v>
      </c>
    </row>
    <row r="54" spans="4:5">
      <c r="D54" s="18"/>
    </row>
    <row r="55" spans="4:5">
      <c r="E55" s="18" t="s">
        <v>96</v>
      </c>
    </row>
    <row r="56" spans="4:5">
      <c r="D56" s="15"/>
    </row>
    <row r="57" spans="4:5">
      <c r="D57" s="17" t="s">
        <v>97</v>
      </c>
    </row>
    <row r="58" spans="4:5">
      <c r="D58" s="18"/>
    </row>
    <row r="59" spans="4:5">
      <c r="E59" s="18" t="s">
        <v>98</v>
      </c>
    </row>
    <row r="60" spans="4:5">
      <c r="D60" s="15"/>
    </row>
    <row r="61" spans="4:5">
      <c r="D61" s="17" t="s">
        <v>99</v>
      </c>
    </row>
    <row r="62" spans="4:5">
      <c r="D62" s="18"/>
    </row>
    <row r="63" spans="4:5">
      <c r="E63" s="18" t="s">
        <v>100</v>
      </c>
    </row>
    <row r="64" spans="4:5">
      <c r="D64" s="15"/>
    </row>
    <row r="65" spans="3:5">
      <c r="D65" s="17" t="s">
        <v>101</v>
      </c>
    </row>
    <row r="66" spans="3:5">
      <c r="D66" s="18"/>
    </row>
    <row r="67" spans="3:5">
      <c r="E67" s="18" t="s">
        <v>102</v>
      </c>
    </row>
    <row r="69" spans="3:5" ht="18">
      <c r="C69" s="14" t="s">
        <v>46</v>
      </c>
    </row>
    <row r="70" spans="3:5">
      <c r="C70" s="15"/>
    </row>
    <row r="71" spans="3:5">
      <c r="D71" s="15" t="s">
        <v>103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B0A92-EA17-4828-AAB7-6968B6FA2E50}">
  <dimension ref="A2:E76"/>
  <sheetViews>
    <sheetView workbookViewId="0">
      <selection activeCell="E82" sqref="E82"/>
    </sheetView>
  </sheetViews>
  <sheetFormatPr defaultRowHeight="15"/>
  <cols>
    <col min="2" max="2" width="26" customWidth="1"/>
    <col min="3" max="3" width="25.42578125" customWidth="1"/>
    <col min="4" max="4" width="30.28515625" customWidth="1"/>
    <col min="5" max="5" width="36.140625" customWidth="1"/>
    <col min="6" max="6" width="10.140625" bestFit="1" customWidth="1"/>
  </cols>
  <sheetData>
    <row r="2" spans="1:4" ht="21">
      <c r="A2" s="1" t="s">
        <v>0</v>
      </c>
      <c r="B2" s="1" t="s">
        <v>5</v>
      </c>
    </row>
    <row r="4" spans="1:4" ht="21">
      <c r="A4" s="1" t="s">
        <v>1</v>
      </c>
    </row>
    <row r="6" spans="1:4" ht="18">
      <c r="B6" s="14" t="s">
        <v>105</v>
      </c>
    </row>
    <row r="8" spans="1:4">
      <c r="B8" t="s">
        <v>106</v>
      </c>
    </row>
    <row r="10" spans="1:4" ht="18">
      <c r="B10" s="14" t="s">
        <v>107</v>
      </c>
    </row>
    <row r="12" spans="1:4">
      <c r="C12" s="16" t="s">
        <v>108</v>
      </c>
    </row>
    <row r="13" spans="1:4">
      <c r="C13" s="15"/>
    </row>
    <row r="14" spans="1:4">
      <c r="D14" s="17" t="s">
        <v>109</v>
      </c>
    </row>
    <row r="16" spans="1:4">
      <c r="C16" s="16" t="s">
        <v>110</v>
      </c>
    </row>
    <row r="17" spans="2:4">
      <c r="C17" s="15"/>
    </row>
    <row r="18" spans="2:4">
      <c r="D18" s="15" t="s">
        <v>114</v>
      </c>
    </row>
    <row r="19" spans="2:4">
      <c r="D19" s="15"/>
    </row>
    <row r="20" spans="2:4">
      <c r="D20" s="15" t="s">
        <v>115</v>
      </c>
    </row>
    <row r="21" spans="2:4">
      <c r="D21" s="15"/>
    </row>
    <row r="22" spans="2:4">
      <c r="D22" s="15" t="s">
        <v>116</v>
      </c>
    </row>
    <row r="23" spans="2:4">
      <c r="C23" s="15"/>
    </row>
    <row r="24" spans="2:4">
      <c r="D24" s="15" t="s">
        <v>117</v>
      </c>
    </row>
    <row r="26" spans="2:4">
      <c r="C26" s="16" t="s">
        <v>111</v>
      </c>
    </row>
    <row r="28" spans="2:4">
      <c r="C28" s="16" t="s">
        <v>112</v>
      </c>
    </row>
    <row r="29" spans="2:4">
      <c r="C29" s="15"/>
    </row>
    <row r="30" spans="2:4">
      <c r="D30" s="15" t="s">
        <v>118</v>
      </c>
    </row>
    <row r="32" spans="2:4" ht="18">
      <c r="B32" s="14" t="s">
        <v>113</v>
      </c>
    </row>
    <row r="34" spans="3:4">
      <c r="C34" s="16" t="s">
        <v>108</v>
      </c>
    </row>
    <row r="35" spans="3:4">
      <c r="C35" s="15"/>
    </row>
    <row r="36" spans="3:4">
      <c r="D36" s="17" t="s">
        <v>119</v>
      </c>
    </row>
    <row r="38" spans="3:4">
      <c r="C38" s="16" t="s">
        <v>110</v>
      </c>
    </row>
    <row r="39" spans="3:4">
      <c r="C39" s="15"/>
    </row>
    <row r="40" spans="3:4">
      <c r="D40" s="15" t="s">
        <v>120</v>
      </c>
    </row>
    <row r="41" spans="3:4">
      <c r="D41" s="15"/>
    </row>
    <row r="42" spans="3:4">
      <c r="D42" s="15" t="s">
        <v>121</v>
      </c>
    </row>
    <row r="43" spans="3:4">
      <c r="D43" s="15"/>
    </row>
    <row r="44" spans="3:4">
      <c r="D44" s="15" t="s">
        <v>122</v>
      </c>
    </row>
    <row r="45" spans="3:4">
      <c r="D45" s="15"/>
    </row>
    <row r="46" spans="3:4">
      <c r="D46" s="15" t="s">
        <v>123</v>
      </c>
    </row>
    <row r="48" spans="3:4">
      <c r="C48" s="16" t="s">
        <v>111</v>
      </c>
    </row>
    <row r="50" spans="2:5" ht="18">
      <c r="B50" s="14" t="s">
        <v>141</v>
      </c>
    </row>
    <row r="52" spans="2:5" ht="15.75">
      <c r="C52" s="20" t="s">
        <v>26</v>
      </c>
      <c r="D52" s="20" t="s">
        <v>124</v>
      </c>
      <c r="E52" s="20" t="s">
        <v>125</v>
      </c>
    </row>
    <row r="53" spans="2:5">
      <c r="C53" s="13" t="s">
        <v>126</v>
      </c>
      <c r="D53" s="13" t="s">
        <v>127</v>
      </c>
      <c r="E53" s="13" t="s">
        <v>128</v>
      </c>
    </row>
    <row r="54" spans="2:5">
      <c r="C54" s="13" t="s">
        <v>129</v>
      </c>
      <c r="D54" s="13" t="s">
        <v>130</v>
      </c>
      <c r="E54" s="13" t="s">
        <v>131</v>
      </c>
    </row>
    <row r="55" spans="2:5">
      <c r="C55" s="13" t="s">
        <v>132</v>
      </c>
      <c r="D55" s="13" t="s">
        <v>133</v>
      </c>
      <c r="E55" s="13" t="s">
        <v>134</v>
      </c>
    </row>
    <row r="56" spans="2:5">
      <c r="C56" s="13" t="s">
        <v>135</v>
      </c>
      <c r="D56" s="13" t="s">
        <v>136</v>
      </c>
      <c r="E56" s="13" t="s">
        <v>137</v>
      </c>
    </row>
    <row r="57" spans="2:5">
      <c r="C57" s="13" t="s">
        <v>138</v>
      </c>
      <c r="D57" s="13" t="s">
        <v>139</v>
      </c>
      <c r="E57" s="13" t="s">
        <v>140</v>
      </c>
    </row>
    <row r="60" spans="2:5" ht="18">
      <c r="B60" s="14" t="s">
        <v>142</v>
      </c>
    </row>
    <row r="62" spans="2:5">
      <c r="C62" t="s">
        <v>143</v>
      </c>
    </row>
    <row r="63" spans="2:5">
      <c r="C63" s="15"/>
    </row>
    <row r="64" spans="2:5">
      <c r="D64" s="17" t="s">
        <v>145</v>
      </c>
    </row>
    <row r="65" spans="2:4">
      <c r="D65" s="17"/>
    </row>
    <row r="66" spans="2:4">
      <c r="D66" s="17" t="s">
        <v>146</v>
      </c>
    </row>
    <row r="67" spans="2:4">
      <c r="D67" s="17"/>
    </row>
    <row r="68" spans="2:4">
      <c r="D68" s="17" t="s">
        <v>147</v>
      </c>
    </row>
    <row r="69" spans="2:4">
      <c r="D69" s="17"/>
    </row>
    <row r="70" spans="2:4">
      <c r="D70" s="17" t="s">
        <v>148</v>
      </c>
    </row>
    <row r="71" spans="2:4">
      <c r="D71" s="17"/>
    </row>
    <row r="72" spans="2:4">
      <c r="D72" s="17" t="s">
        <v>144</v>
      </c>
    </row>
    <row r="74" spans="2:4" ht="18">
      <c r="B74" s="14" t="s">
        <v>149</v>
      </c>
    </row>
    <row r="75" spans="2:4">
      <c r="B75" s="15"/>
    </row>
    <row r="76" spans="2:4">
      <c r="C76" s="15"/>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840A-DAC6-4CA4-A657-C1ABC41B1684}">
  <dimension ref="A2:E45"/>
  <sheetViews>
    <sheetView topLeftCell="A23" workbookViewId="0">
      <selection activeCell="C42" sqref="C42"/>
    </sheetView>
  </sheetViews>
  <sheetFormatPr defaultRowHeight="15"/>
  <cols>
    <col min="3" max="3" width="12.5703125" customWidth="1"/>
    <col min="8" max="8" width="16.140625" bestFit="1" customWidth="1"/>
  </cols>
  <sheetData>
    <row r="2" spans="1:4" ht="21">
      <c r="A2" s="1" t="s">
        <v>0</v>
      </c>
      <c r="B2" s="1" t="s">
        <v>6</v>
      </c>
    </row>
    <row r="4" spans="1:4" ht="21">
      <c r="A4" s="1" t="s">
        <v>1</v>
      </c>
    </row>
    <row r="6" spans="1:4" ht="18">
      <c r="B6" s="14" t="s">
        <v>153</v>
      </c>
    </row>
    <row r="8" spans="1:4">
      <c r="C8" t="s">
        <v>150</v>
      </c>
    </row>
    <row r="9" spans="1:4">
      <c r="C9" s="15"/>
    </row>
    <row r="10" spans="1:4">
      <c r="D10" s="15" t="s">
        <v>154</v>
      </c>
    </row>
    <row r="11" spans="1:4">
      <c r="D11" s="15"/>
    </row>
    <row r="12" spans="1:4">
      <c r="D12" s="15" t="s">
        <v>155</v>
      </c>
    </row>
    <row r="13" spans="1:4">
      <c r="D13" s="15"/>
    </row>
    <row r="14" spans="1:4">
      <c r="D14" s="15" t="s">
        <v>156</v>
      </c>
    </row>
    <row r="16" spans="1:4">
      <c r="C16" t="s">
        <v>151</v>
      </c>
    </row>
    <row r="18" spans="2:5">
      <c r="D18" t="s">
        <v>152</v>
      </c>
    </row>
    <row r="20" spans="2:5" ht="18">
      <c r="B20" s="14" t="s">
        <v>158</v>
      </c>
    </row>
    <row r="22" spans="2:5">
      <c r="C22" s="16" t="s">
        <v>157</v>
      </c>
    </row>
    <row r="24" spans="2:5" ht="18">
      <c r="C24" s="14" t="s">
        <v>159</v>
      </c>
    </row>
    <row r="25" spans="2:5">
      <c r="C25" s="15"/>
    </row>
    <row r="26" spans="2:5">
      <c r="D26" s="17" t="s">
        <v>160</v>
      </c>
    </row>
    <row r="27" spans="2:5">
      <c r="D27" s="18"/>
    </row>
    <row r="28" spans="2:5">
      <c r="E28" s="18" t="s">
        <v>161</v>
      </c>
    </row>
    <row r="29" spans="2:5">
      <c r="D29" s="15"/>
    </row>
    <row r="30" spans="2:5">
      <c r="D30" s="17" t="s">
        <v>162</v>
      </c>
    </row>
    <row r="31" spans="2:5">
      <c r="D31" s="18"/>
    </row>
    <row r="32" spans="2:5">
      <c r="E32" s="18" t="s">
        <v>163</v>
      </c>
    </row>
    <row r="33" spans="2:5">
      <c r="D33" s="15"/>
    </row>
    <row r="34" spans="2:5">
      <c r="D34" s="17" t="s">
        <v>164</v>
      </c>
    </row>
    <row r="35" spans="2:5">
      <c r="D35" s="18"/>
    </row>
    <row r="36" spans="2:5">
      <c r="E36" s="18" t="s">
        <v>165</v>
      </c>
    </row>
    <row r="37" spans="2:5">
      <c r="D37" s="15"/>
    </row>
    <row r="38" spans="2:5">
      <c r="D38" s="17" t="s">
        <v>166</v>
      </c>
    </row>
    <row r="39" spans="2:5">
      <c r="D39" s="18"/>
    </row>
    <row r="40" spans="2:5">
      <c r="E40" s="18" t="s">
        <v>167</v>
      </c>
    </row>
    <row r="42" spans="2:5" ht="18">
      <c r="B42" s="14" t="s">
        <v>149</v>
      </c>
    </row>
    <row r="43" spans="2:5">
      <c r="B43" s="15"/>
    </row>
    <row r="44" spans="2:5">
      <c r="C44" s="15" t="s">
        <v>168</v>
      </c>
    </row>
    <row r="45" spans="2:5">
      <c r="C45" t="s">
        <v>169</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0A9C3-B672-4C8F-A7FD-7D18661646FF}">
  <dimension ref="A2:F23"/>
  <sheetViews>
    <sheetView workbookViewId="0">
      <selection activeCell="L18" sqref="L18"/>
    </sheetView>
  </sheetViews>
  <sheetFormatPr defaultRowHeight="15"/>
  <cols>
    <col min="3" max="3" width="12.5703125" customWidth="1"/>
    <col min="8" max="8" width="16.140625" bestFit="1" customWidth="1"/>
  </cols>
  <sheetData>
    <row r="2" spans="1:6" ht="21">
      <c r="A2" s="1" t="s">
        <v>0</v>
      </c>
      <c r="B2" s="1" t="s">
        <v>7</v>
      </c>
    </row>
    <row r="3" spans="1:6" ht="21.75" thickBot="1">
      <c r="B3" s="1"/>
    </row>
    <row r="4" spans="1:6" ht="21">
      <c r="B4" s="3" t="s">
        <v>8</v>
      </c>
      <c r="C4" s="4">
        <v>2</v>
      </c>
      <c r="D4" s="4">
        <v>4</v>
      </c>
      <c r="E4" s="4">
        <v>6</v>
      </c>
      <c r="F4" s="5">
        <v>8</v>
      </c>
    </row>
    <row r="5" spans="1:6" ht="21.75" thickBot="1">
      <c r="B5" s="8" t="s">
        <v>9</v>
      </c>
      <c r="C5" s="9">
        <v>3</v>
      </c>
      <c r="D5" s="9">
        <v>7</v>
      </c>
      <c r="E5" s="9">
        <v>5</v>
      </c>
      <c r="F5" s="10">
        <v>10</v>
      </c>
    </row>
    <row r="6" spans="1:6" ht="21">
      <c r="B6" s="1"/>
    </row>
    <row r="7" spans="1:6" ht="21">
      <c r="A7" s="1" t="s">
        <v>1</v>
      </c>
    </row>
    <row r="9" spans="1:6" ht="18">
      <c r="B9" s="14" t="s">
        <v>176</v>
      </c>
    </row>
    <row r="11" spans="1:6">
      <c r="C11" t="s">
        <v>170</v>
      </c>
    </row>
    <row r="13" spans="1:6">
      <c r="B13" s="21" t="s">
        <v>173</v>
      </c>
      <c r="C13" s="16">
        <f>_xlfn.COVARIANCE.S($C$4:$F$4,$C$5:$F$5)</f>
        <v>6.333333333333333</v>
      </c>
    </row>
    <row r="15" spans="1:6" ht="18">
      <c r="B15" s="14" t="s">
        <v>177</v>
      </c>
    </row>
    <row r="16" spans="1:6">
      <c r="B16" s="15"/>
    </row>
    <row r="17" spans="2:3">
      <c r="C17" s="17" t="s">
        <v>172</v>
      </c>
    </row>
    <row r="19" spans="2:3" ht="18">
      <c r="B19" s="14" t="s">
        <v>178</v>
      </c>
    </row>
    <row r="20" spans="2:3">
      <c r="B20" s="15"/>
    </row>
    <row r="21" spans="2:3">
      <c r="C21" s="15" t="s">
        <v>174</v>
      </c>
    </row>
    <row r="23" spans="2:3" ht="18">
      <c r="B23" s="14" t="s">
        <v>179</v>
      </c>
    </row>
  </sheetData>
  <phoneticPr fontId="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99C2-A497-4B59-83FA-98AA4E103C50}">
  <dimension ref="A2:G24"/>
  <sheetViews>
    <sheetView workbookViewId="0">
      <selection activeCell="C11" sqref="C11"/>
    </sheetView>
  </sheetViews>
  <sheetFormatPr defaultRowHeight="15"/>
  <cols>
    <col min="2" max="2" width="14.5703125" customWidth="1"/>
    <col min="3" max="3" width="14.140625" customWidth="1"/>
  </cols>
  <sheetData>
    <row r="2" spans="1:7" ht="21">
      <c r="A2" s="1" t="s">
        <v>0</v>
      </c>
      <c r="B2" s="1" t="s">
        <v>10</v>
      </c>
    </row>
    <row r="3" spans="1:7" ht="21.75" thickBot="1">
      <c r="B3" s="1"/>
    </row>
    <row r="4" spans="1:7" ht="21">
      <c r="B4" s="3" t="s">
        <v>11</v>
      </c>
      <c r="C4" s="4">
        <v>10</v>
      </c>
      <c r="D4" s="4">
        <v>20</v>
      </c>
      <c r="E4" s="4">
        <v>30</v>
      </c>
      <c r="F4" s="4">
        <v>40</v>
      </c>
      <c r="G4" s="5">
        <v>50</v>
      </c>
    </row>
    <row r="5" spans="1:7" ht="21.75" thickBot="1">
      <c r="B5" s="8" t="s">
        <v>12</v>
      </c>
      <c r="C5" s="9">
        <v>8</v>
      </c>
      <c r="D5" s="9">
        <v>14</v>
      </c>
      <c r="E5" s="9">
        <v>18</v>
      </c>
      <c r="F5" s="9">
        <v>24</v>
      </c>
      <c r="G5" s="10">
        <v>28</v>
      </c>
    </row>
    <row r="6" spans="1:7" ht="21">
      <c r="B6" s="1"/>
    </row>
    <row r="7" spans="1:7" ht="21">
      <c r="A7" s="1" t="s">
        <v>1</v>
      </c>
    </row>
    <row r="9" spans="1:7" ht="18">
      <c r="B9" s="14" t="s">
        <v>180</v>
      </c>
    </row>
    <row r="11" spans="1:7">
      <c r="C11" s="23">
        <f>CORREL($C$4:$G$4,$C$5:$G$5)</f>
        <v>0.99760860558452769</v>
      </c>
    </row>
    <row r="13" spans="1:7" ht="18">
      <c r="B13" s="14" t="s">
        <v>177</v>
      </c>
    </row>
    <row r="16" spans="1:7" ht="18">
      <c r="B16" s="14" t="s">
        <v>178</v>
      </c>
    </row>
    <row r="17" spans="2:3">
      <c r="B17" s="15"/>
    </row>
    <row r="18" spans="2:3">
      <c r="C18" s="15" t="s">
        <v>181</v>
      </c>
    </row>
    <row r="19" spans="2:3">
      <c r="C19" s="15"/>
    </row>
    <row r="20" spans="2:3">
      <c r="C20" s="15" t="s">
        <v>182</v>
      </c>
    </row>
    <row r="22" spans="2:3" ht="18">
      <c r="B22" s="14" t="s">
        <v>184</v>
      </c>
    </row>
    <row r="23" spans="2:3">
      <c r="B23" s="15"/>
    </row>
    <row r="24" spans="2:3">
      <c r="C24" s="17" t="s">
        <v>183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E4594-9726-49AA-AFAE-747B34F996BD}">
  <dimension ref="A2:G25"/>
  <sheetViews>
    <sheetView workbookViewId="0">
      <selection activeCell="E26" sqref="E26"/>
    </sheetView>
  </sheetViews>
  <sheetFormatPr defaultRowHeight="15"/>
  <cols>
    <col min="2" max="2" width="15.28515625" customWidth="1"/>
    <col min="3" max="3" width="14.42578125" customWidth="1"/>
    <col min="4" max="4" width="13.85546875" customWidth="1"/>
    <col min="5" max="5" width="14.85546875" customWidth="1"/>
  </cols>
  <sheetData>
    <row r="2" spans="1:7" ht="21">
      <c r="A2" s="1" t="s">
        <v>0</v>
      </c>
      <c r="B2" s="1" t="s">
        <v>185</v>
      </c>
    </row>
    <row r="3" spans="1:7" ht="21">
      <c r="B3" s="1" t="s">
        <v>13</v>
      </c>
    </row>
    <row r="4" spans="1:7" ht="15.75" thickBot="1"/>
    <row r="5" spans="1:7" ht="21">
      <c r="B5" s="3" t="s">
        <v>14</v>
      </c>
      <c r="C5" s="4">
        <v>150</v>
      </c>
      <c r="D5" s="4">
        <v>160</v>
      </c>
      <c r="E5" s="4">
        <v>165</v>
      </c>
      <c r="F5" s="4">
        <v>170</v>
      </c>
      <c r="G5" s="5">
        <v>180</v>
      </c>
    </row>
    <row r="6" spans="1:7" ht="21.75" thickBot="1">
      <c r="B6" s="8" t="s">
        <v>15</v>
      </c>
      <c r="C6" s="9">
        <v>50</v>
      </c>
      <c r="D6" s="9">
        <v>55</v>
      </c>
      <c r="E6" s="9">
        <v>58</v>
      </c>
      <c r="F6" s="9">
        <v>62</v>
      </c>
      <c r="G6" s="10">
        <v>70</v>
      </c>
    </row>
    <row r="8" spans="1:7" ht="21">
      <c r="A8" s="1" t="s">
        <v>1</v>
      </c>
    </row>
    <row r="10" spans="1:7" ht="18">
      <c r="B10" s="14" t="s">
        <v>186</v>
      </c>
    </row>
    <row r="12" spans="1:7" ht="15.75">
      <c r="C12" s="24" t="s">
        <v>173</v>
      </c>
      <c r="D12" s="25">
        <f>CORREL($C$5:$G$5,$C$6:$G$6)</f>
        <v>0.99218437024647965</v>
      </c>
    </row>
    <row r="14" spans="1:7" ht="18">
      <c r="B14" s="14" t="s">
        <v>171</v>
      </c>
    </row>
    <row r="17" spans="2:3" ht="18">
      <c r="B17" s="14" t="s">
        <v>35</v>
      </c>
    </row>
    <row r="18" spans="2:3">
      <c r="B18" s="15"/>
    </row>
    <row r="19" spans="2:3">
      <c r="C19" s="15" t="s">
        <v>187</v>
      </c>
    </row>
    <row r="20" spans="2:3">
      <c r="C20" s="15"/>
    </row>
    <row r="21" spans="2:3">
      <c r="C21" s="15" t="s">
        <v>188</v>
      </c>
    </row>
    <row r="23" spans="2:3" ht="18">
      <c r="B23" s="14" t="s">
        <v>175</v>
      </c>
    </row>
    <row r="24" spans="2:3">
      <c r="B24" s="15"/>
    </row>
    <row r="25" spans="2:3">
      <c r="C25" s="17" t="s">
        <v>189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1514B-A535-4C00-9E18-F07472013991}">
  <dimension ref="A2:H30"/>
  <sheetViews>
    <sheetView topLeftCell="A5" workbookViewId="0">
      <selection activeCell="O26" sqref="O26"/>
    </sheetView>
  </sheetViews>
  <sheetFormatPr defaultRowHeight="15"/>
  <sheetData>
    <row r="2" spans="1:7" ht="21">
      <c r="A2" s="1" t="s">
        <v>0</v>
      </c>
      <c r="B2" s="1" t="s">
        <v>190</v>
      </c>
    </row>
    <row r="3" spans="1:7" ht="21">
      <c r="B3" s="1" t="s">
        <v>16</v>
      </c>
    </row>
    <row r="4" spans="1:7" ht="15.75" thickBot="1"/>
    <row r="5" spans="1:7" ht="21">
      <c r="B5" s="3" t="s">
        <v>8</v>
      </c>
      <c r="C5" s="4">
        <v>1</v>
      </c>
      <c r="D5" s="4">
        <v>2</v>
      </c>
      <c r="E5" s="4">
        <v>3</v>
      </c>
      <c r="F5" s="4">
        <v>4</v>
      </c>
      <c r="G5" s="5">
        <v>5</v>
      </c>
    </row>
    <row r="6" spans="1:7" ht="21.75" thickBot="1">
      <c r="B6" s="8" t="s">
        <v>9</v>
      </c>
      <c r="C6" s="9">
        <v>15</v>
      </c>
      <c r="D6" s="9">
        <v>12</v>
      </c>
      <c r="E6" s="9">
        <v>9</v>
      </c>
      <c r="F6" s="9">
        <v>7</v>
      </c>
      <c r="G6" s="10">
        <v>3</v>
      </c>
    </row>
    <row r="8" spans="1:7" ht="21">
      <c r="A8" s="1" t="s">
        <v>1</v>
      </c>
    </row>
    <row r="10" spans="1:7" ht="18">
      <c r="B10" s="14" t="s">
        <v>191</v>
      </c>
    </row>
    <row r="11" spans="1:7">
      <c r="B11" s="15"/>
    </row>
    <row r="12" spans="1:7">
      <c r="C12" s="15" t="s">
        <v>192</v>
      </c>
    </row>
    <row r="14" spans="1:7" ht="18">
      <c r="B14" s="14" t="s">
        <v>193</v>
      </c>
    </row>
    <row r="15" spans="1:7">
      <c r="B15" s="15"/>
    </row>
    <row r="16" spans="1:7">
      <c r="C16" s="15" t="s">
        <v>194</v>
      </c>
    </row>
    <row r="17" spans="2:8">
      <c r="C17" s="15"/>
    </row>
    <row r="18" spans="2:8">
      <c r="C18" s="15" t="s">
        <v>195</v>
      </c>
      <c r="H18" s="16"/>
    </row>
    <row r="20" spans="2:8" ht="18">
      <c r="B20" s="14" t="s">
        <v>196</v>
      </c>
    </row>
    <row r="22" spans="2:8">
      <c r="C22" t="s">
        <v>197</v>
      </c>
    </row>
    <row r="23" spans="2:8">
      <c r="C23" s="15"/>
    </row>
    <row r="24" spans="2:8">
      <c r="D24" s="15" t="s">
        <v>198</v>
      </c>
    </row>
    <row r="25" spans="2:8">
      <c r="D25" s="15"/>
    </row>
    <row r="26" spans="2:8">
      <c r="D26" s="15" t="s">
        <v>199</v>
      </c>
      <c r="F26" s="21" t="s">
        <v>173</v>
      </c>
      <c r="G26" s="16">
        <f>CORREL($C$5:$G$5,$C$6:$G$6)</f>
        <v>-0.99586408862799536</v>
      </c>
    </row>
    <row r="28" spans="2:8">
      <c r="C28" t="s">
        <v>200</v>
      </c>
    </row>
    <row r="30" spans="2:8">
      <c r="C30" s="16" t="s">
        <v>201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81C9-57D4-406C-B35A-1CA844982FBA}">
  <dimension ref="A2:F45"/>
  <sheetViews>
    <sheetView tabSelected="1" topLeftCell="A21" workbookViewId="0">
      <selection activeCell="D45" sqref="D45"/>
    </sheetView>
  </sheetViews>
  <sheetFormatPr defaultRowHeight="15"/>
  <cols>
    <col min="3" max="3" width="19" customWidth="1"/>
    <col min="4" max="4" width="18" customWidth="1"/>
    <col min="5" max="5" width="14.5703125" customWidth="1"/>
    <col min="6" max="6" width="9.140625" customWidth="1"/>
  </cols>
  <sheetData>
    <row r="2" spans="1:4" ht="21">
      <c r="A2" s="1" t="s">
        <v>0</v>
      </c>
      <c r="B2" s="1" t="s">
        <v>17</v>
      </c>
    </row>
    <row r="3" spans="1:4" ht="15.75" thickBot="1"/>
    <row r="4" spans="1:4" ht="21">
      <c r="B4" s="3" t="s">
        <v>18</v>
      </c>
      <c r="C4" s="4" t="s">
        <v>19</v>
      </c>
      <c r="D4" s="5" t="s">
        <v>20</v>
      </c>
    </row>
    <row r="5" spans="1:4" ht="21">
      <c r="B5" s="6">
        <v>1</v>
      </c>
      <c r="C5" s="2">
        <v>8</v>
      </c>
      <c r="D5" s="7">
        <v>6</v>
      </c>
    </row>
    <row r="6" spans="1:4" ht="21">
      <c r="B6" s="6">
        <v>2</v>
      </c>
      <c r="C6" s="2">
        <v>10</v>
      </c>
      <c r="D6" s="7">
        <v>9</v>
      </c>
    </row>
    <row r="7" spans="1:4" ht="21">
      <c r="B7" s="6">
        <v>3</v>
      </c>
      <c r="C7" s="2">
        <v>12</v>
      </c>
      <c r="D7" s="7">
        <v>11</v>
      </c>
    </row>
    <row r="8" spans="1:4" ht="21">
      <c r="B8" s="6">
        <v>4</v>
      </c>
      <c r="C8" s="2">
        <v>9</v>
      </c>
      <c r="D8" s="7">
        <v>8</v>
      </c>
    </row>
    <row r="9" spans="1:4" ht="21.75" thickBot="1">
      <c r="B9" s="8">
        <v>5</v>
      </c>
      <c r="C9" s="9">
        <v>11</v>
      </c>
      <c r="D9" s="10">
        <v>10</v>
      </c>
    </row>
    <row r="11" spans="1:4" ht="21">
      <c r="A11" s="1" t="s">
        <v>1</v>
      </c>
    </row>
    <row r="13" spans="1:4" ht="18">
      <c r="B13" s="14" t="s">
        <v>203</v>
      </c>
    </row>
    <row r="14" spans="1:4">
      <c r="B14" s="15"/>
    </row>
    <row r="15" spans="1:4">
      <c r="C15" s="15" t="s">
        <v>202</v>
      </c>
    </row>
    <row r="17" spans="2:6">
      <c r="C17" s="21" t="s">
        <v>173</v>
      </c>
      <c r="D17" s="26">
        <f>_xlfn.COVARIANCE.P($C$5:$C$9,$D$5:$D$9)</f>
        <v>2.4</v>
      </c>
    </row>
    <row r="19" spans="2:6">
      <c r="B19" t="s">
        <v>204</v>
      </c>
    </row>
    <row r="21" spans="2:6" ht="18">
      <c r="B21" s="14" t="s">
        <v>208</v>
      </c>
    </row>
    <row r="23" spans="2:6">
      <c r="C23" s="16" t="s">
        <v>205</v>
      </c>
    </row>
    <row r="24" spans="2:6">
      <c r="C24" s="15"/>
    </row>
    <row r="25" spans="2:6">
      <c r="D25" s="15" t="s">
        <v>206</v>
      </c>
    </row>
    <row r="26" spans="2:6">
      <c r="D26" s="15"/>
    </row>
    <row r="27" spans="2:6">
      <c r="D27" s="15" t="s">
        <v>207</v>
      </c>
    </row>
    <row r="29" spans="2:6">
      <c r="C29" s="16" t="s">
        <v>209</v>
      </c>
    </row>
    <row r="31" spans="2:6" ht="15.75">
      <c r="D31" s="20" t="s">
        <v>210</v>
      </c>
      <c r="E31" s="20" t="s">
        <v>211</v>
      </c>
      <c r="F31" s="20" t="s">
        <v>212</v>
      </c>
    </row>
    <row r="32" spans="2:6">
      <c r="D32" s="13" t="s">
        <v>213</v>
      </c>
      <c r="E32" s="13" t="s">
        <v>214</v>
      </c>
      <c r="F32" s="13">
        <v>5.6</v>
      </c>
    </row>
    <row r="33" spans="2:6">
      <c r="D33" s="13" t="s">
        <v>215</v>
      </c>
      <c r="E33" s="13" t="s">
        <v>216</v>
      </c>
      <c r="F33" s="13">
        <v>0</v>
      </c>
    </row>
    <row r="34" spans="2:6">
      <c r="D34" s="13" t="s">
        <v>217</v>
      </c>
      <c r="E34" s="13" t="s">
        <v>218</v>
      </c>
      <c r="F34" s="13">
        <v>4.4000000000000004</v>
      </c>
    </row>
    <row r="35" spans="2:6">
      <c r="D35" s="13" t="s">
        <v>219</v>
      </c>
      <c r="E35" s="13" t="s">
        <v>220</v>
      </c>
      <c r="F35" s="13">
        <v>0.8</v>
      </c>
    </row>
    <row r="36" spans="2:6">
      <c r="D36" s="13" t="s">
        <v>221</v>
      </c>
      <c r="E36" s="13" t="s">
        <v>222</v>
      </c>
      <c r="F36" s="13">
        <v>1.2</v>
      </c>
    </row>
    <row r="38" spans="2:6">
      <c r="D38" t="s">
        <v>223</v>
      </c>
    </row>
    <row r="39" spans="2:6">
      <c r="D39" t="s">
        <v>224</v>
      </c>
    </row>
    <row r="41" spans="2:6" ht="18">
      <c r="B41" s="14" t="s">
        <v>225</v>
      </c>
    </row>
    <row r="42" spans="2:6">
      <c r="B42" s="15"/>
    </row>
    <row r="43" spans="2:6">
      <c r="C43" s="15" t="s">
        <v>226</v>
      </c>
    </row>
    <row r="45" spans="2:6">
      <c r="C45" s="21" t="s">
        <v>173</v>
      </c>
      <c r="D45" s="22">
        <f>CORREL($C$5:$C$9,$D$5:$D$9)</f>
        <v>0.98639392383214364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Gopi Singha</cp:lastModifiedBy>
  <dcterms:created xsi:type="dcterms:W3CDTF">2015-06-05T18:17:20Z</dcterms:created>
  <dcterms:modified xsi:type="dcterms:W3CDTF">2026-01-07T13:48:38Z</dcterms:modified>
</cp:coreProperties>
</file>