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ANALYTICS\EXCEL\ASSIGNMENTS\"/>
    </mc:Choice>
  </mc:AlternateContent>
  <xr:revisionPtr revIDLastSave="0" documentId="8_{3622D927-F28D-4403-8AA2-47D9535F63BC}" xr6:coauthVersionLast="47" xr6:coauthVersionMax="47" xr10:uidLastSave="{00000000-0000-0000-0000-000000000000}"/>
  <bookViews>
    <workbookView xWindow="-110" yWindow="-110" windowWidth="19420" windowHeight="10300" firstSheet="5" activeTab="6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  <sheet name="QUESTION 9" sheetId="9" r:id="rId9"/>
    <sheet name="QUESTION 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eI8yFdfAsSzKv1kGqj2+Sv6Corgxr9XlT8AI1Y8HLok="/>
    </ext>
  </extLst>
</workbook>
</file>

<file path=xl/calcChain.xml><?xml version="1.0" encoding="utf-8"?>
<calcChain xmlns="http://schemas.openxmlformats.org/spreadsheetml/2006/main">
  <c r="F8" i="5" l="1"/>
  <c r="E8" i="5"/>
  <c r="G8" i="5" s="1"/>
  <c r="C15" i="4"/>
  <c r="C14" i="4"/>
  <c r="C16" i="3"/>
  <c r="C15" i="2"/>
  <c r="F10" i="1"/>
  <c r="F9" i="1"/>
  <c r="F8" i="1"/>
</calcChain>
</file>

<file path=xl/sharedStrings.xml><?xml version="1.0" encoding="utf-8"?>
<sst xmlns="http://schemas.openxmlformats.org/spreadsheetml/2006/main" count="225" uniqueCount="209">
  <si>
    <t>1.Understanding Central Tendency (Easy)</t>
  </si>
  <si>
    <t>A bakery tracks the daily sales of muffins (in dozens) over a week: [10, 12, 11, 15, 14, 13, 12].</t>
  </si>
  <si>
    <t>What is the most representative value of their weekly sales, and why?</t>
  </si>
  <si>
    <t>Ans.</t>
  </si>
  <si>
    <t>Day</t>
  </si>
  <si>
    <t>Qty Sold</t>
  </si>
  <si>
    <t>Function</t>
  </si>
  <si>
    <t>Value</t>
  </si>
  <si>
    <t>Mean:</t>
  </si>
  <si>
    <t>Median:</t>
  </si>
  <si>
    <t>Mode:</t>
  </si>
  <si>
    <t>Explanation:</t>
  </si>
  <si>
    <t>The median (12) is the most representative here because:</t>
  </si>
  <si>
    <t>It’s not skewed by the slightly higher sales (15) or lower sales (10).</t>
  </si>
  <si>
    <t>It matches the mode, reinforcing that 12 dozens is the most typical daily sale.</t>
  </si>
  <si>
    <t>The mean (12.4) is very close, but since sales are discrete (whole dozens), 12 is more practical and interpretable.</t>
  </si>
  <si>
    <t>Final:</t>
  </si>
  <si>
    <t>The most representative value of weekly muffin sales is 12 dozens per day, because it reflects both the median and mode, making it the most typical daily sales figure.</t>
  </si>
  <si>
    <t>2.Mean in Real Life</t>
  </si>
  <si>
    <t>A teacher records the marks of her students in a short quiz: [12, 15, 14, 16, 18, 20, 19].</t>
  </si>
  <si>
    <t>What is the mean score, and what does it tell us about the class’s performance?</t>
  </si>
  <si>
    <t>Student</t>
  </si>
  <si>
    <t>Marks</t>
  </si>
  <si>
    <t>Mean score:</t>
  </si>
  <si>
    <t>Mean Score shows the performance of the class.</t>
  </si>
  <si>
    <t>The value 16.285 represents the average of the students marks</t>
  </si>
  <si>
    <t>Since the every mean score is closer to mean every student Scored good marks.</t>
  </si>
  <si>
    <t>It gives the teacher a benchmark to compare individual students against each other.</t>
  </si>
  <si>
    <t>3.Mode in Real Life (Easy)</t>
  </si>
  <si>
    <t>A store records the shoe sizes sold in one day: [7, 8, 9, 8, 8, 10, 7, 9].</t>
  </si>
  <si>
    <t>What is the mode, and why is this information useful for the store manager?</t>
  </si>
  <si>
    <t>Count</t>
  </si>
  <si>
    <t>Shoe size</t>
  </si>
  <si>
    <t xml:space="preserve">Knowing the mode helps the store manager understand which shoe size is the most popular or in highest demand on that day. </t>
  </si>
  <si>
    <t xml:space="preserve">  This insight can guide inventory decisions, ensuring that the store stocks more of the most frequently sold sizes to meet customer demand and avoid stockouts.</t>
  </si>
  <si>
    <t>For the store manager, this is practical because:</t>
  </si>
  <si>
    <t>The mode shows the most popular shoe size sold.</t>
  </si>
  <si>
    <r>
      <t xml:space="preserve">Helps in </t>
    </r>
    <r>
      <rPr>
        <b/>
        <sz val="11"/>
        <color rgb="FF000000"/>
        <rFont val="Aptos Narrow"/>
      </rPr>
      <t>stock management</t>
    </r>
    <r>
      <rPr>
        <sz val="11"/>
        <color theme="1"/>
        <rFont val="Calibri"/>
      </rPr>
      <t xml:space="preserve"> → keep more size 8 shoes in inventory.</t>
    </r>
  </si>
  <si>
    <r>
      <t xml:space="preserve">Improves </t>
    </r>
    <r>
      <rPr>
        <b/>
        <sz val="11"/>
        <color rgb="FF000000"/>
        <rFont val="Aptos Narrow"/>
      </rPr>
      <t>sales efficiency</t>
    </r>
    <r>
      <rPr>
        <sz val="11"/>
        <color theme="1"/>
        <rFont val="Calibri"/>
      </rPr>
      <t xml:space="preserve"> → reduces chances of running out of the most demanded size.</t>
    </r>
  </si>
  <si>
    <r>
      <t xml:space="preserve">Guides </t>
    </r>
    <r>
      <rPr>
        <b/>
        <sz val="11"/>
        <color rgb="FF000000"/>
        <rFont val="Aptos Narrow"/>
      </rPr>
      <t>future purchasing decisions</t>
    </r>
    <r>
      <rPr>
        <sz val="11"/>
        <color theme="1"/>
        <rFont val="Calibri"/>
      </rPr>
      <t xml:space="preserve"> → order more of size 8 to match customer demand.</t>
    </r>
  </si>
  <si>
    <t>This Mode 8 explains the store manager that size is the most in demand so they should maintain size of 8 which is useful for them.</t>
  </si>
  <si>
    <t>4.Median in Real Life</t>
  </si>
  <si>
    <t>car dealer notes the prices of used cars: [$8,000, $9,500, $10,200, $11,000, $50,000].</t>
  </si>
  <si>
    <t>Why is the median a better measure than the mean in this case? Calculate the median.</t>
  </si>
  <si>
    <t xml:space="preserve">Ans </t>
  </si>
  <si>
    <t>Cars</t>
  </si>
  <si>
    <t>Price</t>
  </si>
  <si>
    <t xml:space="preserve">The Problem with Mean: If you calculate the Mean, it comes out to 17740. </t>
  </si>
  <si>
    <t>Notice that 17740 is much higher than 4 out of the 5 cars. This happens because of the outlier (50000 car), which pulls the average.</t>
  </si>
  <si>
    <t>The Median Advantage: The Median stays at 10200, which is much closer to what most of the cars actually cost.</t>
  </si>
  <si>
    <t>It is "resistant" to extreme values (outliers), making it a more realistic representation of a "typical" car price at this dealership.</t>
  </si>
  <si>
    <t>We should use Median because it gives the real value.</t>
  </si>
  <si>
    <t>5.Dispersion Introduction (Medium)</t>
  </si>
  <si>
    <t>A student times how long it takes to finish a puzzle each day: [25, 30, 27, 35, 40].</t>
  </si>
  <si>
    <t>What does the range tell us about the variation in the student’s puzzle-solving time?</t>
  </si>
  <si>
    <t>Ans</t>
  </si>
  <si>
    <t>Days</t>
  </si>
  <si>
    <t>Day 1</t>
  </si>
  <si>
    <t>Max</t>
  </si>
  <si>
    <t>Min</t>
  </si>
  <si>
    <t>Range(Max-Min)</t>
  </si>
  <si>
    <t>Day 2</t>
  </si>
  <si>
    <t>Day 3</t>
  </si>
  <si>
    <t>Day 4</t>
  </si>
  <si>
    <t>Day 5</t>
  </si>
  <si>
    <t>The range is the difference between the maximum and minimum values.</t>
  </si>
  <si>
    <t>Maximum time = 40 minutes</t>
  </si>
  <si>
    <t>Minimum time = 25 minutes</t>
  </si>
  <si>
    <t>Range = 40-25=15 minutes</t>
  </si>
  <si>
    <t>Step 2: Interpret the Range</t>
  </si>
  <si>
    <t>The range tells us the spread of the data — how much the times vary from the shortest to the longest.</t>
  </si>
  <si>
    <t>In this case, the student’s puzzle-solving times vary by 15 minutes.</t>
  </si>
  <si>
    <t>Step 3: Meaning of the Variation</t>
  </si>
  <si>
    <t>A range of 15 minutes means that on some days the student is much faster (25 minutes), while on other days they take significantly longer (40 minutes).</t>
  </si>
  <si>
    <t>This shows there is moderate variation in their performance — not completely consistent, but not wildly unpredictable either</t>
  </si>
  <si>
    <t xml:space="preserve"> The range of 15 minutes shows that the student’s puzzle-solving time can vary quite a bit from day to day, with the fastest time being 25 minutes and the slowest 40 minutes performance.</t>
  </si>
  <si>
    <t>It highlights the extent of variation in their performance.</t>
  </si>
  <si>
    <t>6.Range in Action</t>
  </si>
  <si>
    <t>A farmer records the weekly weight of harvested apples (kg): [100, 105, 98, 110, 120].</t>
  </si>
  <si>
    <t>Find the range. How can this help the farmer in planning his packaging.</t>
  </si>
  <si>
    <t>Ans .</t>
  </si>
  <si>
    <t>Weeks</t>
  </si>
  <si>
    <t>Week 1</t>
  </si>
  <si>
    <t>Week 2</t>
  </si>
  <si>
    <t>Week 3</t>
  </si>
  <si>
    <r>
      <t>Minimum Harvest</t>
    </r>
    <r>
      <rPr>
        <sz val="11"/>
        <color rgb="FF000000"/>
        <rFont val="Calibri"/>
        <family val="2"/>
      </rPr>
      <t xml:space="preserve"> = 98 kg</t>
    </r>
  </si>
  <si>
    <t>Week 4</t>
  </si>
  <si>
    <t>Week 5</t>
  </si>
  <si>
    <r>
      <t>Maximum Harvest</t>
    </r>
    <r>
      <rPr>
        <sz val="11"/>
        <color rgb="FF000000"/>
        <rFont val="Calibri"/>
        <family val="2"/>
      </rPr>
      <t xml:space="preserve"> = 120 kg</t>
    </r>
  </si>
  <si>
    <t>Range=Maximum−Minimum=120−98=22 kg</t>
  </si>
  <si>
    <t>• Packaging Planning</t>
  </si>
  <si>
    <r>
      <t xml:space="preserve">The harvest can vary by </t>
    </r>
    <r>
      <rPr>
        <b/>
        <sz val="11"/>
        <color rgb="FF000000"/>
        <rFont val="Calibri"/>
        <family val="2"/>
      </rPr>
      <t>22 kg</t>
    </r>
    <r>
      <rPr>
        <sz val="11"/>
        <color rgb="FF000000"/>
        <rFont val="Calibri"/>
        <family val="2"/>
      </rPr>
      <t xml:space="preserve"> from week to week.</t>
    </r>
  </si>
  <si>
    <r>
      <t xml:space="preserve">The farmer should </t>
    </r>
    <r>
      <rPr>
        <b/>
        <sz val="11"/>
        <color rgb="FF000000"/>
        <rFont val="Calibri"/>
        <family val="2"/>
      </rPr>
      <t>plan packaging capacity</t>
    </r>
    <r>
      <rPr>
        <sz val="11"/>
        <color rgb="FF000000"/>
        <rFont val="Calibri"/>
        <family val="2"/>
      </rPr>
      <t xml:space="preserve"> to handle </t>
    </r>
    <r>
      <rPr>
        <b/>
        <sz val="11"/>
        <color rgb="FF000000"/>
        <rFont val="Calibri"/>
        <family val="2"/>
      </rPr>
      <t>up to 120 kg</t>
    </r>
    <r>
      <rPr>
        <sz val="11"/>
        <color rgb="FF000000"/>
        <rFont val="Calibri"/>
        <family val="2"/>
      </rPr>
      <t xml:space="preserve"> in high-yield weeks.</t>
    </r>
  </si>
  <si>
    <t>Extra crates or storage space may be needed in weeks with larger harvests.</t>
  </si>
  <si>
    <r>
      <t xml:space="preserve">Knowing the range helps avoid </t>
    </r>
    <r>
      <rPr>
        <b/>
        <sz val="11"/>
        <color rgb="FF000000"/>
        <rFont val="Calibri"/>
        <family val="2"/>
      </rPr>
      <t>shortage of boxes</t>
    </r>
    <r>
      <rPr>
        <sz val="11"/>
        <color rgb="FF000000"/>
        <rFont val="Calibri"/>
        <family val="2"/>
      </rPr>
      <t xml:space="preserve"> or </t>
    </r>
    <r>
      <rPr>
        <b/>
        <sz val="11"/>
        <color rgb="FF000000"/>
        <rFont val="Calibri"/>
        <family val="2"/>
      </rPr>
      <t>wastage</t>
    </r>
    <r>
      <rPr>
        <sz val="11"/>
        <color rgb="FF000000"/>
        <rFont val="Calibri"/>
        <family val="2"/>
      </rPr>
      <t>.</t>
    </r>
  </si>
  <si>
    <t>• Final Answer</t>
  </si>
  <si>
    <t>Range = 22 kg</t>
  </si>
  <si>
    <t>The range shows how much the harvest weight varies, helping the farmer plan flexible and sufficient packaging for both low and high harvest weeks.</t>
  </si>
  <si>
    <t>KGS</t>
  </si>
  <si>
    <t xml:space="preserve">7.Variance for Decision-Making </t>
  </si>
  <si>
    <t>Two delivery companies track delivery delays (in minutes).</t>
  </si>
  <si>
    <t>Company A: variance = 6</t>
  </si>
  <si>
    <t>Company B: variance = 15 </t>
  </si>
  <si>
    <t>Which company is more consistent, and why? </t>
  </si>
  <si>
    <r>
      <t>Variance</t>
    </r>
    <r>
      <rPr>
        <sz val="11"/>
        <color rgb="FF000000"/>
        <rFont val="Calibri"/>
        <family val="2"/>
      </rPr>
      <t xml:space="preserve"> measures how much the data values (delivery delays) spread out from the </t>
    </r>
    <r>
      <rPr>
        <b/>
        <sz val="11"/>
        <color rgb="FF000000"/>
        <rFont val="Calibri"/>
        <family val="2"/>
      </rPr>
      <t>average delay</t>
    </r>
    <r>
      <rPr>
        <sz val="11"/>
        <color rgb="FF000000"/>
        <rFont val="Calibri"/>
        <family val="2"/>
      </rPr>
      <t>.</t>
    </r>
  </si>
  <si>
    <r>
      <t>Low variance</t>
    </r>
    <r>
      <rPr>
        <sz val="11"/>
        <color rgb="FF000000"/>
        <rFont val="Calibri"/>
        <family val="2"/>
      </rPr>
      <t xml:space="preserve"> → Delays are similar each day → More consistent</t>
    </r>
  </si>
  <si>
    <r>
      <t>High variance</t>
    </r>
    <r>
      <rPr>
        <sz val="11"/>
        <color rgb="FF000000"/>
        <rFont val="Calibri"/>
        <family val="2"/>
      </rPr>
      <t xml:space="preserve"> → Delays change a lot → Less consistent</t>
    </r>
  </si>
  <si>
    <r>
      <t>Company A:</t>
    </r>
    <r>
      <rPr>
        <sz val="11"/>
        <color rgb="FF000000"/>
        <rFont val="Calibri"/>
        <family val="2"/>
      </rPr>
      <t xml:space="preserve"> Variance = </t>
    </r>
    <r>
      <rPr>
        <b/>
        <sz val="11"/>
        <color rgb="FF000000"/>
        <rFont val="Calibri"/>
        <family val="2"/>
      </rPr>
      <t>6</t>
    </r>
  </si>
  <si>
    <r>
      <t>Company B:</t>
    </r>
    <r>
      <rPr>
        <sz val="11"/>
        <color rgb="FF000000"/>
        <rFont val="Calibri"/>
        <family val="2"/>
      </rPr>
      <t xml:space="preserve"> Variance = </t>
    </r>
    <r>
      <rPr>
        <b/>
        <sz val="11"/>
        <color rgb="FF000000"/>
        <rFont val="Calibri"/>
        <family val="2"/>
      </rPr>
      <t>15</t>
    </r>
  </si>
  <si>
    <t>Company</t>
  </si>
  <si>
    <t>Variance</t>
  </si>
  <si>
    <t>Company A</t>
  </si>
  <si>
    <t>Company B</t>
  </si>
  <si>
    <r>
      <t xml:space="preserve">Company A’s variance is </t>
    </r>
    <r>
      <rPr>
        <b/>
        <sz val="11"/>
        <color rgb="FF000000"/>
        <rFont val="Calibri"/>
        <family val="2"/>
      </rPr>
      <t>smaller</t>
    </r>
    <r>
      <rPr>
        <sz val="11"/>
        <color rgb="FF000000"/>
        <rFont val="Calibri"/>
        <family val="2"/>
      </rPr>
      <t xml:space="preserve"> than Company B’s.</t>
    </r>
  </si>
  <si>
    <r>
      <t xml:space="preserve">This means Company A’s delivery delays are </t>
    </r>
    <r>
      <rPr>
        <b/>
        <sz val="11"/>
        <color rgb="FF000000"/>
        <rFont val="Calibri"/>
        <family val="2"/>
      </rPr>
      <t>less spread out</t>
    </r>
    <r>
      <rPr>
        <sz val="11"/>
        <color rgb="FF000000"/>
        <rFont val="Calibri"/>
        <family val="2"/>
      </rPr>
      <t>.</t>
    </r>
  </si>
  <si>
    <t>🔹 Step 4: Interpretation</t>
  </si>
  <si>
    <t>Company A:</t>
  </si>
  <si>
    <t>Delivery delays are more predictable.</t>
  </si>
  <si>
    <t>Time delays stay close to the average.</t>
  </si>
  <si>
    <r>
      <t xml:space="preserve">Shows </t>
    </r>
    <r>
      <rPr>
        <b/>
        <sz val="11"/>
        <color rgb="FF000000"/>
        <rFont val="Calibri"/>
        <family val="2"/>
      </rPr>
      <t>higher consistency</t>
    </r>
    <r>
      <rPr>
        <sz val="11"/>
        <color rgb="FF000000"/>
        <rFont val="Calibri"/>
        <family val="2"/>
      </rPr>
      <t>.</t>
    </r>
  </si>
  <si>
    <t>Company B:</t>
  </si>
  <si>
    <t>Delivery delays vary widely.</t>
  </si>
  <si>
    <t>Less predictable delivery times.</t>
  </si>
  <si>
    <r>
      <t xml:space="preserve">Shows </t>
    </r>
    <r>
      <rPr>
        <b/>
        <sz val="11"/>
        <color rgb="FF000000"/>
        <rFont val="Calibri"/>
        <family val="2"/>
      </rPr>
      <t>lower consistency</t>
    </r>
    <r>
      <rPr>
        <sz val="11"/>
        <color rgb="FF000000"/>
        <rFont val="Calibri"/>
        <family val="2"/>
      </rPr>
      <t>.</t>
    </r>
  </si>
  <si>
    <t>🔹 Step 5: Final Answer</t>
  </si>
  <si>
    <t>✅ Company A is more consistent</t>
  </si>
  <si>
    <t>📌 Why?</t>
  </si>
  <si>
    <r>
      <t xml:space="preserve">Company A has a </t>
    </r>
    <r>
      <rPr>
        <b/>
        <sz val="11"/>
        <color rgb="FF000000"/>
        <rFont val="Calibri"/>
        <family val="2"/>
      </rPr>
      <t>lower variance (6)</t>
    </r>
    <r>
      <rPr>
        <sz val="11"/>
        <color rgb="FF000000"/>
        <rFont val="Calibri"/>
        <family val="2"/>
      </rPr>
      <t>.</t>
    </r>
  </si>
  <si>
    <r>
      <t xml:space="preserve">Lower variance means </t>
    </r>
    <r>
      <rPr>
        <b/>
        <sz val="11"/>
        <color rgb="FF000000"/>
        <rFont val="Calibri"/>
        <family val="2"/>
      </rPr>
      <t>less variation in delivery delays</t>
    </r>
    <r>
      <rPr>
        <sz val="11"/>
        <color rgb="FF000000"/>
        <rFont val="Calibri"/>
        <family val="2"/>
      </rPr>
      <t>.</t>
    </r>
  </si>
  <si>
    <r>
      <t xml:space="preserve">Less variation = </t>
    </r>
    <r>
      <rPr>
        <b/>
        <sz val="11"/>
        <color rgb="FF000000"/>
        <rFont val="Calibri"/>
        <family val="2"/>
      </rPr>
      <t>more reliable and consistent service</t>
    </r>
    <r>
      <rPr>
        <sz val="11"/>
        <color rgb="FF000000"/>
        <rFont val="Calibri"/>
        <family val="2"/>
      </rPr>
      <t>.</t>
    </r>
  </si>
  <si>
    <t xml:space="preserve">8.Standard Deviation in Context </t>
  </si>
  <si>
    <t>A finance student compares the daily price fluctuations of two cryptocurrencies.</t>
  </si>
  <si>
    <t>Coin A: standard deviation = $30</t>
  </si>
  <si>
    <t>Coin B: standard deviation = $120 </t>
  </si>
  <si>
    <t>Which coin is riskier to invest in, and why? </t>
  </si>
  <si>
    <r>
      <t xml:space="preserve">In Excel, </t>
    </r>
    <r>
      <rPr>
        <b/>
        <sz val="11"/>
        <color rgb="FF000000"/>
        <rFont val="Calibri"/>
        <family val="2"/>
      </rPr>
      <t>standard deviation</t>
    </r>
    <r>
      <rPr>
        <sz val="11"/>
        <color rgb="FF000000"/>
        <rFont val="Calibri"/>
        <family val="2"/>
      </rPr>
      <t xml:space="preserve"> shows how much daily prices move away from the </t>
    </r>
    <r>
      <rPr>
        <b/>
        <sz val="11"/>
        <color rgb="FF000000"/>
        <rFont val="Calibri"/>
        <family val="2"/>
      </rPr>
      <t>average price</t>
    </r>
    <r>
      <rPr>
        <sz val="11"/>
        <color rgb="FF000000"/>
        <rFont val="Calibri"/>
        <family val="2"/>
      </rPr>
      <t>.</t>
    </r>
  </si>
  <si>
    <r>
      <t>Lower SD</t>
    </r>
    <r>
      <rPr>
        <sz val="11"/>
        <color rgb="FF000000"/>
        <rFont val="Calibri"/>
        <family val="2"/>
      </rPr>
      <t xml:space="preserve"> → Stable prices → Lower risk</t>
    </r>
  </si>
  <si>
    <r>
      <t>Higher SD</t>
    </r>
    <r>
      <rPr>
        <sz val="11"/>
        <color rgb="FF000000"/>
        <rFont val="Calibri"/>
        <family val="2"/>
      </rPr>
      <t xml:space="preserve"> → Large price swings → Higher risk</t>
    </r>
  </si>
  <si>
    <t>Coin</t>
  </si>
  <si>
    <t>Standard Deviation ($)</t>
  </si>
  <si>
    <t>Coin A</t>
  </si>
  <si>
    <t>Coin B</t>
  </si>
  <si>
    <r>
      <t xml:space="preserve">Prices usually change by </t>
    </r>
    <r>
      <rPr>
        <b/>
        <sz val="11"/>
        <color rgb="FF000000"/>
        <rFont val="Calibri"/>
        <family val="2"/>
      </rPr>
      <t>±$30</t>
    </r>
    <r>
      <rPr>
        <sz val="11"/>
        <color rgb="FF000000"/>
        <rFont val="Calibri"/>
        <family val="2"/>
      </rPr>
      <t xml:space="preserve"> from the average.</t>
    </r>
  </si>
  <si>
    <t>Small ups and downs in Excel charts.</t>
  </si>
  <si>
    <r>
      <t>More stable</t>
    </r>
    <r>
      <rPr>
        <sz val="11"/>
        <color rgb="FF000000"/>
        <rFont val="Calibri"/>
        <family val="2"/>
      </rPr>
      <t>.</t>
    </r>
  </si>
  <si>
    <r>
      <t>Lower investment risk</t>
    </r>
    <r>
      <rPr>
        <sz val="11"/>
        <color rgb="FF000000"/>
        <rFont val="Calibri"/>
        <family val="2"/>
      </rPr>
      <t>.</t>
    </r>
  </si>
  <si>
    <r>
      <t xml:space="preserve">Prices change by </t>
    </r>
    <r>
      <rPr>
        <b/>
        <sz val="11"/>
        <color rgb="FF000000"/>
        <rFont val="Calibri"/>
        <family val="2"/>
      </rPr>
      <t>±$120</t>
    </r>
    <r>
      <rPr>
        <sz val="11"/>
        <color rgb="FF000000"/>
        <rFont val="Calibri"/>
        <family val="2"/>
      </rPr>
      <t xml:space="preserve"> from the average.</t>
    </r>
  </si>
  <si>
    <t>Large spikes and drops in Excel charts.</t>
  </si>
  <si>
    <r>
      <t>Highly volatile</t>
    </r>
    <r>
      <rPr>
        <sz val="11"/>
        <color rgb="FF000000"/>
        <rFont val="Calibri"/>
        <family val="2"/>
      </rPr>
      <t>.</t>
    </r>
  </si>
  <si>
    <r>
      <t>Higher investment risk</t>
    </r>
    <r>
      <rPr>
        <sz val="11"/>
        <color rgb="FF000000"/>
        <rFont val="Calibri"/>
        <family val="2"/>
      </rPr>
      <t>.</t>
    </r>
  </si>
  <si>
    <r>
      <t xml:space="preserve">Coin B has a </t>
    </r>
    <r>
      <rPr>
        <b/>
        <sz val="11"/>
        <color rgb="FF000000"/>
        <rFont val="Calibri"/>
        <family val="2"/>
      </rPr>
      <t>much higher standard deviation</t>
    </r>
    <r>
      <rPr>
        <sz val="11"/>
        <color rgb="FF000000"/>
        <rFont val="Calibri"/>
        <family val="2"/>
      </rPr>
      <t>.</t>
    </r>
  </si>
  <si>
    <r>
      <t xml:space="preserve">Higher standard deviation means </t>
    </r>
    <r>
      <rPr>
        <b/>
        <sz val="11"/>
        <color rgb="FF000000"/>
        <rFont val="Calibri"/>
        <family val="2"/>
      </rPr>
      <t>greater price fluctuations</t>
    </r>
    <r>
      <rPr>
        <sz val="11"/>
        <color rgb="FF000000"/>
        <rFont val="Calibri"/>
        <family val="2"/>
      </rPr>
      <t>.</t>
    </r>
  </si>
  <si>
    <r>
      <t xml:space="preserve">Greater fluctuations increase the </t>
    </r>
    <r>
      <rPr>
        <b/>
        <sz val="11"/>
        <color rgb="FF000000"/>
        <rFont val="Calibri"/>
        <family val="2"/>
      </rPr>
      <t>chance of losses</t>
    </r>
    <r>
      <rPr>
        <sz val="11"/>
        <color rgb="FF000000"/>
        <rFont val="Calibri"/>
        <family val="2"/>
      </rPr>
      <t>.</t>
    </r>
  </si>
  <si>
    <r>
      <t xml:space="preserve">In Excel-based financial analysis, </t>
    </r>
    <r>
      <rPr>
        <b/>
        <sz val="11"/>
        <color rgb="FF000000"/>
        <rFont val="Calibri"/>
        <family val="2"/>
      </rPr>
      <t>higher volatility = higher risk</t>
    </r>
    <r>
      <rPr>
        <sz val="11"/>
        <color rgb="FF000000"/>
        <rFont val="Calibri"/>
        <family val="2"/>
      </rPr>
      <t>.</t>
    </r>
  </si>
  <si>
    <r>
      <t xml:space="preserve">Since Coin B has a higher standard deviation ($120) than Coin A ($30), Coin B shows greater price volatility and is therefore the </t>
    </r>
    <r>
      <rPr>
        <b/>
        <sz val="11"/>
        <color rgb="FF000000"/>
        <rFont val="Calibri"/>
        <family val="2"/>
      </rPr>
      <t>riskier investment</t>
    </r>
  </si>
  <si>
    <t>Final answer:</t>
  </si>
  <si>
    <t xml:space="preserve"> Coin B is riskier to invest in</t>
  </si>
  <si>
    <t>Coin A (SD = $30)</t>
  </si>
  <si>
    <t>Coin B (SD = $120)</t>
  </si>
  <si>
    <t>9.Combining Measures.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</si>
  <si>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</si>
  <si>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</si>
  <si>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>Months</t>
  </si>
  <si>
    <t>Electricity Usage</t>
  </si>
  <si>
    <t>Average</t>
  </si>
  <si>
    <t>Standard Deviation</t>
  </si>
  <si>
    <t>Month 1</t>
  </si>
  <si>
    <t>Month 2</t>
  </si>
  <si>
    <t>Month 3</t>
  </si>
  <si>
    <t>Month 4</t>
  </si>
  <si>
    <t>Month 5</t>
  </si>
  <si>
    <r>
      <t xml:space="preserve">The family uses </t>
    </r>
    <r>
      <rPr>
        <b/>
        <sz val="11"/>
        <color rgb="FF000000"/>
        <rFont val="Calibri"/>
        <family val="2"/>
      </rPr>
      <t>about 414 kWh per month on average</t>
    </r>
    <r>
      <rPr>
        <sz val="11"/>
        <color rgb="FF000000"/>
        <rFont val="Calibri"/>
        <family val="2"/>
      </rPr>
      <t>.</t>
    </r>
  </si>
  <si>
    <r>
      <t xml:space="preserve">This is their </t>
    </r>
    <r>
      <rPr>
        <b/>
        <sz val="11"/>
        <color rgb="FF000000"/>
        <rFont val="Calibri"/>
        <family val="2"/>
      </rPr>
      <t>typical electricity consumption</t>
    </r>
    <r>
      <rPr>
        <sz val="11"/>
        <color rgb="FF000000"/>
        <rFont val="Calibri"/>
        <family val="2"/>
      </rPr>
      <t>.</t>
    </r>
  </si>
  <si>
    <r>
      <t xml:space="preserve">Monthly usage usually changes by </t>
    </r>
    <r>
      <rPr>
        <b/>
        <sz val="11"/>
        <color rgb="FF000000"/>
        <rFont val="Calibri"/>
        <family val="2"/>
      </rPr>
      <t>±23 kWh</t>
    </r>
    <r>
      <rPr>
        <sz val="11"/>
        <color rgb="FF000000"/>
        <rFont val="Calibri"/>
        <family val="2"/>
      </rPr>
      <t xml:space="preserve"> from the average.</t>
    </r>
  </si>
  <si>
    <r>
      <t xml:space="preserve">This indicates </t>
    </r>
    <r>
      <rPr>
        <b/>
        <sz val="11"/>
        <color rgb="FF000000"/>
        <rFont val="Calibri"/>
        <family val="2"/>
      </rPr>
      <t>moderate variation</t>
    </r>
    <r>
      <rPr>
        <sz val="11"/>
        <color rgb="FF000000"/>
        <rFont val="Calibri"/>
        <family val="2"/>
      </rPr>
      <t>, not extreme changes.</t>
    </r>
  </si>
  <si>
    <t>Since the standard deviation is small compared to the mean, the family’s electricity usage is fairly</t>
  </si>
  <si>
    <t>consistent and predictable, with slight changes due to seasonal appliance use (fans, AC, heaters).</t>
  </si>
  <si>
    <r>
      <t xml:space="preserve">The </t>
    </r>
    <r>
      <rPr>
        <b/>
        <sz val="11"/>
        <color rgb="FF000000"/>
        <rFont val="Calibri"/>
        <family val="2"/>
      </rPr>
      <t>mean (414 kWh)</t>
    </r>
    <r>
      <rPr>
        <sz val="11"/>
        <color rgb="FF000000"/>
        <rFont val="Calibri"/>
        <family val="2"/>
      </rPr>
      <t xml:space="preserve"> shows overall usage level.</t>
    </r>
  </si>
  <si>
    <r>
      <t xml:space="preserve">The </t>
    </r>
    <r>
      <rPr>
        <b/>
        <sz val="11"/>
        <color rgb="FF000000"/>
        <rFont val="Calibri"/>
        <family val="2"/>
      </rPr>
      <t>standard deviation (23 kWh)</t>
    </r>
    <r>
      <rPr>
        <sz val="11"/>
        <color rgb="FF000000"/>
        <rFont val="Calibri"/>
        <family val="2"/>
      </rPr>
      <t xml:space="preserve"> shows stability.</t>
    </r>
  </si>
  <si>
    <r>
      <t xml:space="preserve">Since the standard deviation is </t>
    </r>
    <r>
      <rPr>
        <b/>
        <sz val="11"/>
        <color rgb="FF000000"/>
        <rFont val="Calibri"/>
        <family val="2"/>
      </rPr>
      <t>small compared to the mean</t>
    </r>
    <r>
      <rPr>
        <sz val="11"/>
        <color rgb="FF000000"/>
        <rFont val="Calibri"/>
        <family val="2"/>
      </rPr>
      <t xml:space="preserve">, the family’s electricity usage is </t>
    </r>
    <r>
      <rPr>
        <b/>
        <sz val="11"/>
        <color rgb="FF000000"/>
        <rFont val="Calibri"/>
        <family val="2"/>
      </rPr>
      <t>fairly consistent and predictable</t>
    </r>
    <r>
      <rPr>
        <sz val="11"/>
        <color rgb="FF000000"/>
        <rFont val="Calibri"/>
        <family val="2"/>
      </rPr>
      <t>, with small increases or decreases due to seasonal appliance use (fans, AC, heaters).</t>
    </r>
  </si>
  <si>
    <t>10.Practical Application.</t>
  </si>
  <si>
    <t>A basketball player’s points in 8 games are recorded: [15, 18, 20, 22, 25, 17, 19, 21]. </t>
  </si>
  <si>
    <t>Find the mean, median, mode, range, and standard deviation. What insights can these measures provide</t>
  </si>
  <si>
    <t>about the player’s scoring performance?</t>
  </si>
  <si>
    <t>Game Number</t>
  </si>
  <si>
    <t>Point Score</t>
  </si>
  <si>
    <t>Mean (Average)</t>
  </si>
  <si>
    <t>Median</t>
  </si>
  <si>
    <t>Mode</t>
  </si>
  <si>
    <t>Range</t>
  </si>
  <si>
    <t>Game 1</t>
  </si>
  <si>
    <t>Game 2</t>
  </si>
  <si>
    <t>Game 3</t>
  </si>
  <si>
    <t>Game 4</t>
  </si>
  <si>
    <t>Game 5</t>
  </si>
  <si>
    <t>Game 6</t>
  </si>
  <si>
    <t>Game 7</t>
  </si>
  <si>
    <t>Game 8</t>
  </si>
  <si>
    <r>
      <t>Mean &amp; Median close together →</t>
    </r>
    <r>
      <rPr>
        <sz val="11"/>
        <color rgb="FF000000"/>
        <rFont val="Calibri"/>
        <family val="2"/>
      </rPr>
      <t xml:space="preserve"> Player is consistent</t>
    </r>
  </si>
  <si>
    <r>
      <t>No mode →</t>
    </r>
    <r>
      <rPr>
        <sz val="11"/>
        <color rgb="FF000000"/>
        <rFont val="Calibri"/>
        <family val="2"/>
      </rPr>
      <t xml:space="preserve"> Scores vary naturally, no fixed pattern</t>
    </r>
  </si>
  <si>
    <r>
      <t>Range =</t>
    </r>
    <r>
      <rPr>
        <sz val="11"/>
        <color rgb="FF000000"/>
        <rFont val="Calibri"/>
        <family val="2"/>
      </rPr>
      <t xml:space="preserve"> 10 → Moderate difference between best and worst games</t>
    </r>
  </si>
  <si>
    <r>
      <t>Low standard deviation (3.1)</t>
    </r>
    <r>
      <rPr>
        <sz val="11"/>
        <color rgb="FF000000"/>
        <rFont val="Calibri"/>
        <family val="2"/>
      </rPr>
      <t xml:space="preserve"> → Performance is stable and reliable</t>
    </r>
  </si>
  <si>
    <t>The player's average scoring is about 19.6 points per game.</t>
  </si>
  <si>
    <t>The median close to the mean indicates a fairly symmetric distribution of scores.</t>
  </si>
  <si>
    <t>No mode means the player scores a variety of points without repetition.</t>
  </si>
  <si>
    <t>The range of 10 points shows some variability in scoring between games.</t>
  </si>
  <si>
    <t>The standard deviation of 3.11 suggests moderate consistency in scoring performance.</t>
  </si>
  <si>
    <t>The player averages about 20 points per game with low variability, indicating consistent scoring performance. Occasional high or low scores exist, but overall the player is dependable.</t>
  </si>
  <si>
    <t>Final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</si>
</sst>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b/>
      <sz val="16"/>
      <color theme="1"/>
      <name val="Calibri"/>
    </font>
    <font>
      <sz val="11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Aptos Narrow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b/>
      <sz val="11"/>
      <color rgb="FF000000"/>
      <name val="Aptos Narrow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rgb="FF6AA84F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6" fillId="3" borderId="0" xfId="0" applyFont="1" applyFill="1"/>
    <xf numFmtId="0" fontId="2" fillId="3" borderId="0" xfId="0" applyFont="1" applyFill="1"/>
    <xf numFmtId="0" fontId="4" fillId="2" borderId="0" xfId="0" applyFont="1" applyFill="1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3" borderId="4" xfId="0" applyFont="1" applyFill="1" applyBorder="1"/>
    <xf numFmtId="0" fontId="2" fillId="0" borderId="5" xfId="0" applyFont="1" applyBorder="1"/>
    <xf numFmtId="0" fontId="2" fillId="3" borderId="4" xfId="0" applyFont="1" applyFill="1" applyBorder="1"/>
    <xf numFmtId="0" fontId="7" fillId="3" borderId="4" xfId="0" applyFont="1" applyFill="1" applyBorder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1" fillId="3" borderId="0" xfId="0" applyFont="1" applyFill="1"/>
    <xf numFmtId="0" fontId="4" fillId="4" borderId="0" xfId="0" applyFont="1" applyFill="1"/>
    <xf numFmtId="0" fontId="8" fillId="3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0" fillId="5" borderId="0" xfId="0" applyFill="1"/>
    <xf numFmtId="0" fontId="13" fillId="0" borderId="15" xfId="0" applyFont="1" applyBorder="1" applyAlignment="1">
      <alignment wrapText="1"/>
    </xf>
    <xf numFmtId="0" fontId="13" fillId="0" borderId="15" xfId="0" applyFont="1" applyBorder="1" applyAlignment="1">
      <alignment vertical="center" wrapText="1"/>
    </xf>
    <xf numFmtId="0" fontId="13" fillId="0" borderId="20" xfId="0" applyFont="1" applyBorder="1" applyAlignment="1">
      <alignment wrapText="1"/>
    </xf>
    <xf numFmtId="0" fontId="13" fillId="5" borderId="13" xfId="0" applyFont="1" applyFill="1" applyBorder="1" applyAlignment="1">
      <alignment wrapText="1"/>
    </xf>
    <xf numFmtId="0" fontId="15" fillId="5" borderId="16" xfId="0" applyFont="1" applyFill="1" applyBorder="1" applyAlignment="1">
      <alignment horizontal="center" wrapText="1"/>
    </xf>
    <xf numFmtId="0" fontId="13" fillId="5" borderId="15" xfId="0" applyFont="1" applyFill="1" applyBorder="1" applyAlignment="1">
      <alignment wrapText="1"/>
    </xf>
    <xf numFmtId="0" fontId="14" fillId="5" borderId="14" xfId="0" applyFont="1" applyFill="1" applyBorder="1" applyAlignment="1">
      <alignment horizontal="center" wrapText="1"/>
    </xf>
    <xf numFmtId="0" fontId="14" fillId="5" borderId="15" xfId="0" applyFont="1" applyFill="1" applyBorder="1" applyAlignment="1">
      <alignment vertical="center"/>
    </xf>
    <xf numFmtId="0" fontId="13" fillId="5" borderId="15" xfId="0" applyFont="1" applyFill="1" applyBorder="1" applyAlignment="1">
      <alignment vertical="center"/>
    </xf>
    <xf numFmtId="0" fontId="15" fillId="5" borderId="15" xfId="0" applyFont="1" applyFill="1" applyBorder="1" applyAlignment="1">
      <alignment vertical="center"/>
    </xf>
    <xf numFmtId="0" fontId="14" fillId="5" borderId="15" xfId="0" applyFont="1" applyFill="1" applyBorder="1" applyAlignment="1">
      <alignment vertical="center" wrapText="1"/>
    </xf>
    <xf numFmtId="0" fontId="0" fillId="5" borderId="0" xfId="0" applyFill="1" applyBorder="1"/>
    <xf numFmtId="0" fontId="4" fillId="8" borderId="12" xfId="0" applyFont="1" applyFill="1" applyBorder="1"/>
    <xf numFmtId="0" fontId="13" fillId="5" borderId="12" xfId="0" applyFont="1" applyFill="1" applyBorder="1" applyAlignment="1">
      <alignment wrapText="1"/>
    </xf>
    <xf numFmtId="0" fontId="15" fillId="5" borderId="12" xfId="0" applyFont="1" applyFill="1" applyBorder="1" applyAlignment="1">
      <alignment horizontal="center" wrapText="1"/>
    </xf>
    <xf numFmtId="0" fontId="0" fillId="5" borderId="12" xfId="0" applyFill="1" applyBorder="1"/>
    <xf numFmtId="0" fontId="14" fillId="5" borderId="12" xfId="0" applyFont="1" applyFill="1" applyBorder="1" applyAlignment="1">
      <alignment horizontal="center" wrapText="1"/>
    </xf>
    <xf numFmtId="0" fontId="14" fillId="5" borderId="12" xfId="0" applyFont="1" applyFill="1" applyBorder="1" applyAlignment="1">
      <alignment vertical="center"/>
    </xf>
    <xf numFmtId="0" fontId="13" fillId="5" borderId="12" xfId="0" applyFont="1" applyFill="1" applyBorder="1" applyAlignment="1">
      <alignment vertical="center"/>
    </xf>
    <xf numFmtId="0" fontId="17" fillId="5" borderId="12" xfId="0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14" fillId="5" borderId="12" xfId="0" applyFont="1" applyFill="1" applyBorder="1" applyAlignment="1">
      <alignment vertical="center" wrapText="1"/>
    </xf>
    <xf numFmtId="0" fontId="13" fillId="5" borderId="21" xfId="0" applyFont="1" applyFill="1" applyBorder="1" applyAlignment="1">
      <alignment wrapText="1"/>
    </xf>
    <xf numFmtId="0" fontId="13" fillId="5" borderId="22" xfId="0" applyFont="1" applyFill="1" applyBorder="1" applyAlignment="1">
      <alignment wrapText="1"/>
    </xf>
    <xf numFmtId="0" fontId="13" fillId="5" borderId="23" xfId="0" applyFont="1" applyFill="1" applyBorder="1" applyAlignment="1">
      <alignment wrapText="1"/>
    </xf>
    <xf numFmtId="0" fontId="15" fillId="5" borderId="24" xfId="0" applyFont="1" applyFill="1" applyBorder="1" applyAlignment="1">
      <alignment horizontal="center" wrapText="1"/>
    </xf>
    <xf numFmtId="0" fontId="15" fillId="5" borderId="25" xfId="0" applyFont="1" applyFill="1" applyBorder="1" applyAlignment="1">
      <alignment horizontal="center" wrapText="1"/>
    </xf>
    <xf numFmtId="0" fontId="15" fillId="5" borderId="26" xfId="0" applyFont="1" applyFill="1" applyBorder="1" applyAlignment="1">
      <alignment horizontal="center" wrapText="1"/>
    </xf>
    <xf numFmtId="0" fontId="15" fillId="5" borderId="27" xfId="0" applyFont="1" applyFill="1" applyBorder="1" applyAlignment="1">
      <alignment horizontal="center" wrapText="1"/>
    </xf>
    <xf numFmtId="0" fontId="4" fillId="8" borderId="21" xfId="0" applyFont="1" applyFill="1" applyBorder="1"/>
    <xf numFmtId="0" fontId="4" fillId="8" borderId="22" xfId="0" applyFont="1" applyFill="1" applyBorder="1"/>
    <xf numFmtId="0" fontId="18" fillId="8" borderId="28" xfId="0" applyFont="1" applyFill="1" applyBorder="1" applyAlignment="1">
      <alignment horizontal="center"/>
    </xf>
    <xf numFmtId="0" fontId="18" fillId="8" borderId="29" xfId="0" applyFont="1" applyFill="1" applyBorder="1" applyAlignment="1">
      <alignment horizontal="center"/>
    </xf>
    <xf numFmtId="0" fontId="12" fillId="0" borderId="0" xfId="0" applyFont="1"/>
    <xf numFmtId="0" fontId="19" fillId="2" borderId="0" xfId="0" applyFont="1" applyFill="1"/>
    <xf numFmtId="0" fontId="10" fillId="2" borderId="0" xfId="0" applyFont="1" applyFill="1"/>
    <xf numFmtId="0" fontId="12" fillId="6" borderId="0" xfId="0" applyFont="1" applyFill="1"/>
    <xf numFmtId="0" fontId="0" fillId="6" borderId="0" xfId="0" applyFill="1"/>
    <xf numFmtId="0" fontId="12" fillId="5" borderId="0" xfId="0" applyFont="1" applyFill="1"/>
    <xf numFmtId="0" fontId="16" fillId="5" borderId="15" xfId="0" applyFont="1" applyFill="1" applyBorder="1" applyAlignment="1">
      <alignment vertical="center"/>
    </xf>
    <xf numFmtId="0" fontId="13" fillId="5" borderId="15" xfId="0" applyFont="1" applyFill="1" applyBorder="1" applyAlignment="1">
      <alignment vertical="center" wrapText="1"/>
    </xf>
    <xf numFmtId="0" fontId="13" fillId="5" borderId="30" xfId="0" applyFont="1" applyFill="1" applyBorder="1" applyAlignment="1">
      <alignment wrapText="1"/>
    </xf>
    <xf numFmtId="0" fontId="14" fillId="5" borderId="16" xfId="0" applyFont="1" applyFill="1" applyBorder="1" applyAlignment="1">
      <alignment horizontal="center" vertical="center" wrapText="1"/>
    </xf>
    <xf numFmtId="0" fontId="15" fillId="5" borderId="16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vertical="center" wrapText="1"/>
    </xf>
    <xf numFmtId="0" fontId="22" fillId="5" borderId="15" xfId="0" applyFont="1" applyFill="1" applyBorder="1" applyAlignment="1">
      <alignment wrapText="1"/>
    </xf>
    <xf numFmtId="0" fontId="13" fillId="5" borderId="18" xfId="0" applyFont="1" applyFill="1" applyBorder="1" applyAlignment="1">
      <alignment wrapText="1"/>
    </xf>
    <xf numFmtId="0" fontId="14" fillId="5" borderId="16" xfId="0" applyFont="1" applyFill="1" applyBorder="1" applyAlignment="1">
      <alignment horizontal="center" wrapText="1"/>
    </xf>
    <xf numFmtId="0" fontId="13" fillId="5" borderId="17" xfId="0" applyFont="1" applyFill="1" applyBorder="1" applyAlignment="1">
      <alignment wrapText="1"/>
    </xf>
    <xf numFmtId="0" fontId="13" fillId="5" borderId="20" xfId="0" applyFont="1" applyFill="1" applyBorder="1" applyAlignment="1">
      <alignment wrapText="1"/>
    </xf>
    <xf numFmtId="0" fontId="20" fillId="5" borderId="16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wrapText="1"/>
    </xf>
    <xf numFmtId="0" fontId="21" fillId="5" borderId="15" xfId="0" applyFont="1" applyFill="1" applyBorder="1" applyAlignment="1">
      <alignment vertical="center"/>
    </xf>
    <xf numFmtId="0" fontId="14" fillId="5" borderId="12" xfId="0" applyFont="1" applyFill="1" applyBorder="1" applyAlignment="1">
      <alignment horizontal="center" vertical="center" wrapText="1"/>
    </xf>
    <xf numFmtId="0" fontId="0" fillId="7" borderId="0" xfId="0" applyFont="1" applyFill="1"/>
    <xf numFmtId="0" fontId="23" fillId="5" borderId="15" xfId="0" applyFont="1" applyFill="1" applyBorder="1" applyAlignment="1">
      <alignment vertical="center"/>
    </xf>
    <xf numFmtId="0" fontId="13" fillId="5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workbookViewId="0">
      <selection activeCell="K3" sqref="K3"/>
    </sheetView>
  </sheetViews>
  <sheetFormatPr defaultColWidth="12.6328125" defaultRowHeight="15" customHeight="1" x14ac:dyDescent="0.25"/>
  <cols>
    <col min="1" max="26" width="14.36328125" customWidth="1"/>
  </cols>
  <sheetData>
    <row r="1" spans="1:15" ht="15.75" customHeight="1" x14ac:dyDescent="0.25"/>
    <row r="2" spans="1:15" ht="15.75" customHeight="1" x14ac:dyDescent="0.3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8"/>
      <c r="L2" s="1"/>
      <c r="M2" s="1"/>
      <c r="N2" s="1"/>
      <c r="O2" s="1"/>
    </row>
    <row r="3" spans="1:15" ht="15.75" customHeight="1" x14ac:dyDescent="0.3">
      <c r="A3" s="67" t="s">
        <v>1</v>
      </c>
      <c r="B3" s="68"/>
      <c r="C3" s="68"/>
      <c r="D3" s="68"/>
      <c r="E3" s="68"/>
      <c r="F3" s="68"/>
      <c r="G3" s="68"/>
      <c r="H3" s="68"/>
      <c r="I3" s="68"/>
      <c r="J3" s="68"/>
      <c r="L3" s="1"/>
      <c r="M3" s="1"/>
      <c r="N3" s="1"/>
      <c r="O3" s="1"/>
    </row>
    <row r="4" spans="1:15" ht="15.75" customHeight="1" x14ac:dyDescent="0.3">
      <c r="A4" s="67" t="s">
        <v>2</v>
      </c>
      <c r="B4" s="68"/>
      <c r="C4" s="68"/>
      <c r="D4" s="68"/>
      <c r="E4" s="68"/>
      <c r="F4" s="68"/>
      <c r="G4" s="68"/>
      <c r="H4" s="68"/>
      <c r="I4" s="68"/>
      <c r="J4" s="68"/>
      <c r="K4" s="1"/>
    </row>
    <row r="5" spans="1:15" ht="15.75" customHeight="1" x14ac:dyDescent="0.25"/>
    <row r="6" spans="1:15" ht="15.75" customHeight="1" x14ac:dyDescent="0.3">
      <c r="A6" s="2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5" ht="15.75" customHeight="1" x14ac:dyDescent="0.3">
      <c r="A7" s="3"/>
      <c r="B7" s="27" t="s">
        <v>4</v>
      </c>
      <c r="C7" s="27" t="s">
        <v>5</v>
      </c>
      <c r="D7" s="3"/>
      <c r="E7" s="27" t="s">
        <v>6</v>
      </c>
      <c r="F7" s="27" t="s">
        <v>7</v>
      </c>
      <c r="G7" s="3"/>
      <c r="H7" s="3"/>
      <c r="I7" s="3"/>
      <c r="J7" s="3"/>
      <c r="K7" s="3"/>
    </row>
    <row r="8" spans="1:15" ht="15.75" customHeight="1" x14ac:dyDescent="0.35">
      <c r="A8" s="3"/>
      <c r="B8" s="30">
        <v>1</v>
      </c>
      <c r="C8" s="30">
        <v>10</v>
      </c>
      <c r="D8" s="3"/>
      <c r="E8" s="31" t="s">
        <v>8</v>
      </c>
      <c r="F8" s="31">
        <f>AVERAGE($C$8:$C$14)</f>
        <v>12.428571428571429</v>
      </c>
      <c r="G8" s="3"/>
      <c r="H8" s="3"/>
      <c r="I8" s="3"/>
      <c r="J8" s="3"/>
      <c r="K8" s="3"/>
    </row>
    <row r="9" spans="1:15" ht="15.75" customHeight="1" x14ac:dyDescent="0.35">
      <c r="A9" s="3"/>
      <c r="B9" s="4">
        <v>2</v>
      </c>
      <c r="C9" s="4">
        <v>12</v>
      </c>
      <c r="D9" s="3"/>
      <c r="E9" s="5" t="s">
        <v>9</v>
      </c>
      <c r="F9" s="5">
        <f>MEDIAN($C$8:$C$14)</f>
        <v>12</v>
      </c>
      <c r="G9" s="3"/>
      <c r="H9" s="3"/>
      <c r="I9" s="3"/>
      <c r="J9" s="3"/>
      <c r="K9" s="3"/>
    </row>
    <row r="10" spans="1:15" ht="15.75" customHeight="1" x14ac:dyDescent="0.35">
      <c r="A10" s="3"/>
      <c r="B10" s="4">
        <v>3</v>
      </c>
      <c r="C10" s="4">
        <v>11</v>
      </c>
      <c r="D10" s="3"/>
      <c r="E10" s="5" t="s">
        <v>10</v>
      </c>
      <c r="F10" s="5">
        <f>MODE($C$8:$C$14)</f>
        <v>12</v>
      </c>
      <c r="G10" s="3"/>
      <c r="H10" s="3"/>
      <c r="I10" s="3"/>
      <c r="J10" s="3"/>
      <c r="K10" s="3"/>
    </row>
    <row r="11" spans="1:15" ht="15.75" customHeight="1" x14ac:dyDescent="0.35">
      <c r="A11" s="3"/>
      <c r="B11" s="4">
        <v>4</v>
      </c>
      <c r="C11" s="4">
        <v>15</v>
      </c>
      <c r="D11" s="3"/>
      <c r="E11" s="3"/>
      <c r="F11" s="3"/>
      <c r="G11" s="3"/>
      <c r="H11" s="3"/>
      <c r="I11" s="3"/>
      <c r="J11" s="3"/>
      <c r="K11" s="3"/>
    </row>
    <row r="12" spans="1:15" ht="15.75" customHeight="1" x14ac:dyDescent="0.35">
      <c r="A12" s="3"/>
      <c r="B12" s="4">
        <v>5</v>
      </c>
      <c r="C12" s="4">
        <v>14</v>
      </c>
      <c r="D12" s="3"/>
      <c r="E12" s="3"/>
      <c r="F12" s="3"/>
      <c r="G12" s="3"/>
      <c r="H12" s="3"/>
      <c r="I12" s="3"/>
      <c r="J12" s="3"/>
      <c r="K12" s="3"/>
    </row>
    <row r="13" spans="1:15" ht="15.75" customHeight="1" x14ac:dyDescent="0.35">
      <c r="A13" s="3"/>
      <c r="B13" s="4">
        <v>6</v>
      </c>
      <c r="C13" s="4">
        <v>13</v>
      </c>
      <c r="D13" s="3"/>
      <c r="E13" s="3"/>
      <c r="F13" s="3"/>
      <c r="G13" s="3"/>
      <c r="H13" s="3"/>
      <c r="I13" s="3"/>
      <c r="J13" s="3"/>
      <c r="K13" s="3"/>
    </row>
    <row r="14" spans="1:15" ht="15.75" customHeight="1" x14ac:dyDescent="0.35">
      <c r="A14" s="3"/>
      <c r="B14" s="4">
        <v>7</v>
      </c>
      <c r="C14" s="4">
        <v>12</v>
      </c>
      <c r="D14" s="3"/>
      <c r="E14" s="3"/>
      <c r="F14" s="3"/>
      <c r="G14" s="3"/>
      <c r="H14" s="3"/>
      <c r="I14" s="3"/>
      <c r="J14" s="3"/>
      <c r="K14" s="3"/>
    </row>
    <row r="15" spans="1:15" ht="15.75" customHeight="1" x14ac:dyDescent="0.3">
      <c r="A15" s="2" t="s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5" ht="15.75" customHeight="1" x14ac:dyDescent="0.35">
      <c r="A16" s="6" t="s">
        <v>12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1"/>
      <c r="M16" s="1"/>
    </row>
    <row r="17" spans="1:18" ht="15.75" customHeight="1" x14ac:dyDescent="0.35">
      <c r="A17" s="6" t="s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1"/>
      <c r="M17" s="1"/>
    </row>
    <row r="18" spans="1:18" ht="15.75" customHeight="1" x14ac:dyDescent="0.35">
      <c r="A18" s="6" t="s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</row>
    <row r="19" spans="1:18" ht="15.75" customHeight="1" x14ac:dyDescent="0.35">
      <c r="A19" s="6" t="s">
        <v>15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1"/>
      <c r="M19" s="1"/>
    </row>
    <row r="20" spans="1:18" ht="15.75" customHeight="1" x14ac:dyDescent="0.3">
      <c r="A20" s="2" t="s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8" ht="15.75" customHeight="1" x14ac:dyDescent="0.35">
      <c r="A21" s="6" t="s">
        <v>17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1"/>
      <c r="M21" s="1"/>
      <c r="N21" s="1"/>
      <c r="O21" s="1"/>
      <c r="P21" s="1"/>
      <c r="Q21" s="1"/>
      <c r="R21" s="1"/>
    </row>
    <row r="22" spans="1:18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8" ht="15.75" customHeight="1" x14ac:dyDescent="0.25"/>
    <row r="24" spans="1:18" ht="15.75" customHeight="1" x14ac:dyDescent="0.25"/>
    <row r="25" spans="1:18" ht="15.75" customHeight="1" x14ac:dyDescent="0.25"/>
    <row r="26" spans="1:18" ht="15.75" customHeight="1" x14ac:dyDescent="0.25"/>
    <row r="27" spans="1:18" ht="15.75" customHeight="1" x14ac:dyDescent="0.25"/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0" workbookViewId="0">
      <selection activeCell="D14" sqref="D14"/>
    </sheetView>
  </sheetViews>
  <sheetFormatPr defaultColWidth="12.6328125" defaultRowHeight="15" customHeight="1" x14ac:dyDescent="0.25"/>
  <cols>
    <col min="1" max="26" width="14.36328125" customWidth="1"/>
  </cols>
  <sheetData>
    <row r="1" spans="1:7" ht="15.75" customHeight="1" x14ac:dyDescent="0.25"/>
    <row r="2" spans="1:7" ht="15.75" customHeight="1" x14ac:dyDescent="0.25">
      <c r="A2" s="8" t="s">
        <v>18</v>
      </c>
      <c r="B2" s="8"/>
      <c r="C2" s="8"/>
      <c r="D2" s="8"/>
      <c r="E2" s="8"/>
    </row>
    <row r="3" spans="1:7" ht="15.75" customHeight="1" x14ac:dyDescent="0.25">
      <c r="A3" s="8" t="s">
        <v>19</v>
      </c>
      <c r="B3" s="8"/>
      <c r="C3" s="8"/>
      <c r="D3" s="8"/>
      <c r="E3" s="8"/>
    </row>
    <row r="4" spans="1:7" ht="15.75" customHeight="1" x14ac:dyDescent="0.25">
      <c r="A4" s="8" t="s">
        <v>20</v>
      </c>
      <c r="B4" s="8"/>
      <c r="C4" s="8"/>
      <c r="D4" s="8"/>
      <c r="E4" s="8"/>
    </row>
    <row r="5" spans="1:7" ht="15.75" customHeight="1" x14ac:dyDescent="0.25">
      <c r="A5" s="9" t="s">
        <v>3</v>
      </c>
    </row>
    <row r="6" spans="1:7" ht="15.75" customHeight="1" x14ac:dyDescent="0.3">
      <c r="A6" s="3"/>
      <c r="B6" s="27" t="s">
        <v>21</v>
      </c>
      <c r="C6" s="27" t="s">
        <v>22</v>
      </c>
      <c r="D6" s="3"/>
      <c r="E6" s="3"/>
      <c r="F6" s="3"/>
      <c r="G6" s="3"/>
    </row>
    <row r="7" spans="1:7" ht="15.75" customHeight="1" x14ac:dyDescent="0.25">
      <c r="A7" s="3"/>
      <c r="B7" s="11">
        <v>1</v>
      </c>
      <c r="C7" s="11">
        <v>12</v>
      </c>
      <c r="D7" s="3"/>
      <c r="E7" s="3"/>
      <c r="F7" s="3"/>
      <c r="G7" s="3"/>
    </row>
    <row r="8" spans="1:7" ht="15.75" customHeight="1" x14ac:dyDescent="0.25">
      <c r="A8" s="3"/>
      <c r="B8" s="10">
        <v>2</v>
      </c>
      <c r="C8" s="10">
        <v>15</v>
      </c>
      <c r="D8" s="3"/>
      <c r="E8" s="3"/>
      <c r="F8" s="3"/>
      <c r="G8" s="3"/>
    </row>
    <row r="9" spans="1:7" ht="15.75" customHeight="1" x14ac:dyDescent="0.25">
      <c r="A9" s="3"/>
      <c r="B9" s="10">
        <v>3</v>
      </c>
      <c r="C9" s="10">
        <v>14</v>
      </c>
      <c r="D9" s="3"/>
      <c r="E9" s="3"/>
      <c r="F9" s="3"/>
      <c r="G9" s="3"/>
    </row>
    <row r="10" spans="1:7" ht="15.75" customHeight="1" x14ac:dyDescent="0.25">
      <c r="A10" s="3"/>
      <c r="B10" s="10">
        <v>4</v>
      </c>
      <c r="C10" s="10">
        <v>16</v>
      </c>
      <c r="D10" s="3"/>
      <c r="E10" s="3"/>
      <c r="F10" s="3"/>
      <c r="G10" s="3"/>
    </row>
    <row r="11" spans="1:7" ht="15.75" customHeight="1" x14ac:dyDescent="0.25">
      <c r="A11" s="3"/>
      <c r="B11" s="10">
        <v>5</v>
      </c>
      <c r="C11" s="10">
        <v>18</v>
      </c>
      <c r="D11" s="3"/>
      <c r="E11" s="3"/>
      <c r="F11" s="3"/>
      <c r="G11" s="3"/>
    </row>
    <row r="12" spans="1:7" ht="15.75" customHeight="1" x14ac:dyDescent="0.25">
      <c r="A12" s="3"/>
      <c r="B12" s="10">
        <v>6</v>
      </c>
      <c r="C12" s="10">
        <v>20</v>
      </c>
      <c r="D12" s="3"/>
      <c r="E12" s="3"/>
      <c r="F12" s="3"/>
      <c r="G12" s="3"/>
    </row>
    <row r="13" spans="1:7" ht="15.75" customHeight="1" x14ac:dyDescent="0.25">
      <c r="A13" s="3"/>
      <c r="B13" s="10">
        <v>7</v>
      </c>
      <c r="C13" s="10">
        <v>19</v>
      </c>
      <c r="D13" s="3"/>
      <c r="E13" s="3"/>
      <c r="F13" s="3"/>
      <c r="G13" s="3"/>
    </row>
    <row r="14" spans="1:7" ht="15.75" customHeight="1" x14ac:dyDescent="0.25">
      <c r="A14" s="3"/>
      <c r="B14" s="3"/>
      <c r="C14" s="3"/>
      <c r="D14" s="3"/>
      <c r="E14" s="3"/>
      <c r="F14" s="3"/>
      <c r="G14" s="3"/>
    </row>
    <row r="15" spans="1:7" ht="15.75" customHeight="1" x14ac:dyDescent="0.25">
      <c r="A15" s="3"/>
      <c r="B15" s="5" t="s">
        <v>23</v>
      </c>
      <c r="C15" s="5">
        <f>AVERAGE($C$7:$C$13)</f>
        <v>16.285714285714285</v>
      </c>
      <c r="D15" s="3"/>
      <c r="E15" s="3"/>
      <c r="F15" s="3"/>
      <c r="G15" s="3"/>
    </row>
    <row r="16" spans="1:7" ht="15.75" customHeight="1" x14ac:dyDescent="0.25">
      <c r="A16" s="3"/>
      <c r="B16" s="3"/>
      <c r="C16" s="3"/>
      <c r="D16" s="3"/>
      <c r="E16" s="3"/>
      <c r="F16" s="3"/>
      <c r="G16" s="3"/>
    </row>
    <row r="17" spans="1:7" ht="15.75" customHeight="1" x14ac:dyDescent="0.3">
      <c r="A17" s="2" t="s">
        <v>11</v>
      </c>
      <c r="B17" s="3"/>
      <c r="C17" s="3"/>
      <c r="D17" s="3"/>
      <c r="E17" s="3"/>
      <c r="F17" s="3"/>
      <c r="G17" s="3"/>
    </row>
    <row r="18" spans="1:7" ht="15.75" customHeight="1" x14ac:dyDescent="0.25">
      <c r="A18" s="3" t="s">
        <v>24</v>
      </c>
      <c r="B18" s="3"/>
      <c r="C18" s="3"/>
      <c r="D18" s="3"/>
      <c r="E18" s="3"/>
      <c r="F18" s="3"/>
      <c r="G18" s="3"/>
    </row>
    <row r="19" spans="1:7" ht="15.75" customHeight="1" x14ac:dyDescent="0.25">
      <c r="A19" s="3" t="s">
        <v>25</v>
      </c>
      <c r="B19" s="3"/>
      <c r="C19" s="3"/>
      <c r="D19" s="3"/>
      <c r="E19" s="3"/>
      <c r="F19" s="3"/>
      <c r="G19" s="3"/>
    </row>
    <row r="20" spans="1:7" ht="15.75" customHeight="1" x14ac:dyDescent="0.25">
      <c r="A20" s="3" t="s">
        <v>26</v>
      </c>
      <c r="B20" s="3"/>
      <c r="C20" s="3"/>
      <c r="D20" s="3"/>
      <c r="E20" s="3"/>
      <c r="F20" s="3"/>
      <c r="G20" s="3"/>
    </row>
    <row r="21" spans="1:7" ht="15.75" customHeight="1" x14ac:dyDescent="0.25">
      <c r="A21" s="3" t="s">
        <v>27</v>
      </c>
      <c r="B21" s="3"/>
      <c r="C21" s="3"/>
      <c r="D21" s="3"/>
      <c r="E21" s="3"/>
      <c r="F21" s="3"/>
      <c r="G21" s="3"/>
    </row>
    <row r="22" spans="1:7" ht="15.75" customHeight="1" x14ac:dyDescent="0.25">
      <c r="A22" s="3"/>
      <c r="B22" s="3"/>
      <c r="C22" s="3"/>
      <c r="D22" s="3"/>
      <c r="E22" s="3"/>
      <c r="F22" s="3"/>
      <c r="G22" s="3"/>
    </row>
    <row r="23" spans="1:7" ht="15.75" customHeight="1" x14ac:dyDescent="0.25">
      <c r="A23" s="3"/>
      <c r="B23" s="3"/>
      <c r="C23" s="3"/>
      <c r="D23" s="3"/>
      <c r="E23" s="3"/>
      <c r="F23" s="3"/>
      <c r="G23" s="3"/>
    </row>
    <row r="24" spans="1:7" ht="15.75" customHeight="1" x14ac:dyDescent="0.25">
      <c r="A24" s="3"/>
      <c r="B24" s="3"/>
      <c r="C24" s="3"/>
      <c r="D24" s="3"/>
      <c r="E24" s="3"/>
      <c r="F24" s="3"/>
      <c r="G24" s="3"/>
    </row>
    <row r="25" spans="1:7" ht="15.75" customHeight="1" x14ac:dyDescent="0.25">
      <c r="A25" s="3"/>
      <c r="B25" s="3"/>
      <c r="C25" s="3"/>
      <c r="D25" s="3"/>
      <c r="E25" s="3"/>
      <c r="F25" s="3"/>
      <c r="G25" s="3"/>
    </row>
    <row r="26" spans="1:7" ht="15.75" customHeight="1" x14ac:dyDescent="0.25">
      <c r="A26" s="3"/>
      <c r="B26" s="3"/>
      <c r="C26" s="3"/>
      <c r="D26" s="3"/>
      <c r="E26" s="3"/>
      <c r="F26" s="3"/>
      <c r="G26" s="3"/>
    </row>
    <row r="27" spans="1:7" ht="15.75" customHeight="1" x14ac:dyDescent="0.25">
      <c r="A27" s="3"/>
      <c r="B27" s="3"/>
      <c r="C27" s="3"/>
      <c r="D27" s="3"/>
      <c r="E27" s="3"/>
      <c r="F27" s="3"/>
      <c r="G27" s="3"/>
    </row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Q29"/>
  <sheetViews>
    <sheetView topLeftCell="A13" workbookViewId="0">
      <selection activeCell="I2" sqref="I2"/>
    </sheetView>
  </sheetViews>
  <sheetFormatPr defaultColWidth="12.6328125" defaultRowHeight="15" customHeight="1" x14ac:dyDescent="0.25"/>
  <sheetData>
    <row r="2" spans="1:13" ht="15" customHeight="1" x14ac:dyDescent="0.3">
      <c r="A2" s="67" t="s">
        <v>28</v>
      </c>
      <c r="B2" s="68"/>
      <c r="C2" s="68"/>
      <c r="D2" s="68"/>
      <c r="E2" s="68"/>
      <c r="F2" s="68"/>
      <c r="G2" s="68"/>
      <c r="H2" s="68"/>
      <c r="I2" s="1"/>
      <c r="J2" s="1"/>
      <c r="K2" s="1"/>
      <c r="L2" s="1"/>
      <c r="M2" s="1"/>
    </row>
    <row r="3" spans="1:13" ht="15" customHeight="1" x14ac:dyDescent="0.3">
      <c r="A3" s="67" t="s">
        <v>29</v>
      </c>
      <c r="B3" s="68"/>
      <c r="C3" s="68"/>
      <c r="D3" s="68"/>
      <c r="E3" s="68"/>
      <c r="F3" s="68"/>
      <c r="G3" s="68"/>
      <c r="H3" s="68"/>
      <c r="I3" s="1"/>
      <c r="J3" s="1"/>
      <c r="K3" s="1"/>
      <c r="L3" s="1"/>
      <c r="M3" s="1"/>
    </row>
    <row r="4" spans="1:13" ht="15" customHeight="1" x14ac:dyDescent="0.3">
      <c r="A4" s="67" t="s">
        <v>30</v>
      </c>
      <c r="B4" s="68"/>
      <c r="C4" s="68"/>
      <c r="D4" s="68"/>
      <c r="E4" s="68"/>
      <c r="F4" s="68"/>
      <c r="G4" s="68"/>
      <c r="H4" s="68"/>
      <c r="I4" s="1"/>
      <c r="J4" s="1"/>
      <c r="K4" s="1"/>
      <c r="L4" s="1"/>
      <c r="M4" s="1"/>
    </row>
    <row r="5" spans="1:13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" x14ac:dyDescent="0.3">
      <c r="A6" s="3"/>
      <c r="B6" s="27" t="s">
        <v>31</v>
      </c>
      <c r="C6" s="27" t="s">
        <v>32</v>
      </c>
      <c r="D6" s="3"/>
      <c r="E6" s="3"/>
      <c r="F6" s="3"/>
      <c r="G6" s="3"/>
      <c r="H6" s="3"/>
      <c r="I6" s="3"/>
      <c r="J6" s="3"/>
      <c r="K6" s="3"/>
    </row>
    <row r="7" spans="1:13" ht="15" customHeight="1" x14ac:dyDescent="0.25">
      <c r="A7" s="3"/>
      <c r="B7" s="11">
        <v>1</v>
      </c>
      <c r="C7" s="11">
        <v>7</v>
      </c>
      <c r="D7" s="3"/>
      <c r="E7" s="3"/>
      <c r="F7" s="3"/>
      <c r="G7" s="3"/>
      <c r="H7" s="3"/>
      <c r="I7" s="3"/>
      <c r="J7" s="3"/>
      <c r="K7" s="3"/>
    </row>
    <row r="8" spans="1:13" ht="15" customHeight="1" x14ac:dyDescent="0.25">
      <c r="A8" s="3"/>
      <c r="B8" s="10">
        <v>2</v>
      </c>
      <c r="C8" s="10">
        <v>8</v>
      </c>
      <c r="D8" s="3"/>
      <c r="E8" s="3"/>
      <c r="F8" s="3"/>
      <c r="G8" s="3"/>
      <c r="H8" s="3"/>
      <c r="I8" s="3"/>
      <c r="J8" s="3"/>
      <c r="K8" s="3"/>
    </row>
    <row r="9" spans="1:13" ht="15" customHeight="1" x14ac:dyDescent="0.25">
      <c r="A9" s="3"/>
      <c r="B9" s="10">
        <v>3</v>
      </c>
      <c r="C9" s="10">
        <v>9</v>
      </c>
      <c r="D9" s="3"/>
      <c r="E9" s="3"/>
      <c r="F9" s="3"/>
      <c r="G9" s="3"/>
      <c r="H9" s="3"/>
      <c r="I9" s="3"/>
      <c r="J9" s="3"/>
      <c r="K9" s="3"/>
    </row>
    <row r="10" spans="1:13" ht="15" customHeight="1" x14ac:dyDescent="0.25">
      <c r="A10" s="3"/>
      <c r="B10" s="10">
        <v>4</v>
      </c>
      <c r="C10" s="10">
        <v>8</v>
      </c>
      <c r="D10" s="3"/>
      <c r="E10" s="3"/>
      <c r="F10" s="3"/>
      <c r="G10" s="3"/>
      <c r="H10" s="3"/>
      <c r="I10" s="3"/>
      <c r="J10" s="3"/>
      <c r="K10" s="3"/>
    </row>
    <row r="11" spans="1:13" ht="15" customHeight="1" x14ac:dyDescent="0.25">
      <c r="A11" s="3"/>
      <c r="B11" s="10">
        <v>5</v>
      </c>
      <c r="C11" s="10">
        <v>8</v>
      </c>
      <c r="D11" s="3"/>
      <c r="E11" s="3"/>
      <c r="F11" s="3"/>
      <c r="G11" s="3"/>
      <c r="H11" s="3"/>
      <c r="I11" s="3"/>
      <c r="J11" s="3"/>
      <c r="K11" s="3"/>
    </row>
    <row r="12" spans="1:13" ht="15" customHeight="1" x14ac:dyDescent="0.25">
      <c r="A12" s="3"/>
      <c r="B12" s="10">
        <v>6</v>
      </c>
      <c r="C12" s="10">
        <v>10</v>
      </c>
      <c r="D12" s="3"/>
      <c r="E12" s="3"/>
      <c r="F12" s="3"/>
      <c r="G12" s="3"/>
      <c r="H12" s="3"/>
      <c r="I12" s="3"/>
      <c r="J12" s="3"/>
      <c r="K12" s="3"/>
    </row>
    <row r="13" spans="1:13" ht="15" customHeight="1" x14ac:dyDescent="0.25">
      <c r="A13" s="3"/>
      <c r="B13" s="12">
        <v>7</v>
      </c>
      <c r="C13" s="12">
        <v>7</v>
      </c>
      <c r="D13" s="3"/>
      <c r="E13" s="3"/>
      <c r="F13" s="3"/>
      <c r="G13" s="3"/>
      <c r="H13" s="3"/>
      <c r="I13" s="3"/>
      <c r="J13" s="3"/>
      <c r="K13" s="3"/>
    </row>
    <row r="14" spans="1:13" ht="15" customHeight="1" x14ac:dyDescent="0.25">
      <c r="A14" s="3"/>
      <c r="B14" s="10">
        <v>8</v>
      </c>
      <c r="C14" s="10">
        <v>9</v>
      </c>
      <c r="D14" s="3"/>
      <c r="E14" s="3"/>
      <c r="F14" s="3"/>
      <c r="G14" s="3"/>
      <c r="H14" s="3"/>
      <c r="I14" s="3"/>
      <c r="J14" s="3"/>
      <c r="K14" s="3"/>
    </row>
    <row r="15" spans="1:13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3" ht="15" customHeight="1" x14ac:dyDescent="0.25">
      <c r="A16" s="3"/>
      <c r="B16" s="10" t="s">
        <v>10</v>
      </c>
      <c r="C16" s="10">
        <f>MODE($C$7:$C$14)</f>
        <v>8</v>
      </c>
      <c r="D16" s="3"/>
      <c r="E16" s="3"/>
      <c r="F16" s="3"/>
      <c r="G16" s="3"/>
      <c r="H16" s="3"/>
      <c r="I16" s="3"/>
      <c r="J16" s="3"/>
      <c r="K16" s="3"/>
    </row>
    <row r="17" spans="1:17" ht="1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7" ht="15" customHeight="1" x14ac:dyDescent="0.35">
      <c r="A18" s="13" t="s">
        <v>33</v>
      </c>
      <c r="B18" s="7"/>
      <c r="C18" s="7"/>
      <c r="D18" s="7"/>
      <c r="E18" s="7"/>
      <c r="F18" s="7"/>
      <c r="G18" s="7"/>
      <c r="H18" s="7"/>
      <c r="I18" s="7"/>
      <c r="J18" s="7"/>
      <c r="K18" s="3"/>
      <c r="L18" s="1"/>
      <c r="M18" s="1"/>
      <c r="N18" s="1"/>
      <c r="O18" s="1"/>
      <c r="P18" s="1"/>
      <c r="Q18" s="14"/>
    </row>
    <row r="19" spans="1:17" ht="15" customHeight="1" x14ac:dyDescent="0.35">
      <c r="A19" s="13" t="s">
        <v>34</v>
      </c>
      <c r="B19" s="7"/>
      <c r="C19" s="7"/>
      <c r="D19" s="7"/>
      <c r="E19" s="7"/>
      <c r="F19" s="7"/>
      <c r="G19" s="7"/>
      <c r="H19" s="7"/>
      <c r="I19" s="7"/>
      <c r="J19" s="7"/>
      <c r="K19" s="3"/>
      <c r="L19" s="1"/>
      <c r="M19" s="1"/>
      <c r="N19" s="1"/>
      <c r="O19" s="1"/>
      <c r="P19" s="1"/>
      <c r="Q19" s="14"/>
    </row>
    <row r="20" spans="1:17" ht="15" customHeight="1" x14ac:dyDescent="0.35">
      <c r="A20" s="13" t="s">
        <v>35</v>
      </c>
      <c r="B20" s="7"/>
      <c r="C20" s="7"/>
      <c r="D20" s="7"/>
      <c r="E20" s="7"/>
      <c r="F20" s="7"/>
      <c r="G20" s="7"/>
      <c r="H20" s="7"/>
      <c r="I20" s="7"/>
      <c r="J20" s="7"/>
      <c r="K20" s="3"/>
      <c r="L20" s="1"/>
      <c r="M20" s="1"/>
      <c r="N20" s="1"/>
      <c r="O20" s="1"/>
      <c r="P20" s="1"/>
      <c r="Q20" s="14"/>
    </row>
    <row r="21" spans="1:17" ht="14" x14ac:dyDescent="0.3">
      <c r="A21" s="15"/>
      <c r="B21" s="7"/>
      <c r="C21" s="7"/>
      <c r="D21" s="7"/>
      <c r="E21" s="7"/>
      <c r="F21" s="7"/>
      <c r="G21" s="7"/>
      <c r="H21" s="7"/>
      <c r="I21" s="7"/>
      <c r="J21" s="7"/>
      <c r="K21" s="3"/>
      <c r="L21" s="1"/>
      <c r="M21" s="1"/>
      <c r="N21" s="1"/>
      <c r="O21" s="1"/>
      <c r="P21" s="1"/>
      <c r="Q21" s="14"/>
    </row>
    <row r="22" spans="1:17" ht="14.5" x14ac:dyDescent="0.35">
      <c r="A22" s="6" t="s">
        <v>36</v>
      </c>
      <c r="B22" s="7"/>
      <c r="C22" s="7"/>
      <c r="D22" s="7"/>
      <c r="E22" s="7"/>
      <c r="F22" s="7"/>
      <c r="G22" s="3"/>
      <c r="H22" s="3"/>
      <c r="I22" s="3"/>
      <c r="J22" s="3"/>
      <c r="K22" s="3"/>
    </row>
    <row r="23" spans="1:17" ht="14.5" x14ac:dyDescent="0.35">
      <c r="A23" s="6" t="s">
        <v>35</v>
      </c>
      <c r="B23" s="7"/>
      <c r="C23" s="7"/>
      <c r="D23" s="7"/>
      <c r="E23" s="7"/>
      <c r="F23" s="7"/>
      <c r="G23" s="3"/>
      <c r="H23" s="3"/>
      <c r="I23" s="3"/>
      <c r="J23" s="3"/>
      <c r="K23" s="3"/>
    </row>
    <row r="24" spans="1:17" ht="14.5" x14ac:dyDescent="0.35">
      <c r="A24" s="16" t="s">
        <v>37</v>
      </c>
      <c r="B24" s="7"/>
      <c r="C24" s="7"/>
      <c r="D24" s="7"/>
      <c r="E24" s="7"/>
      <c r="F24" s="7"/>
      <c r="G24" s="7"/>
      <c r="H24" s="7"/>
      <c r="I24" s="7"/>
      <c r="J24" s="7"/>
      <c r="K24" s="3"/>
      <c r="L24" s="1"/>
      <c r="M24" s="1"/>
    </row>
    <row r="25" spans="1:17" ht="14.5" x14ac:dyDescent="0.35">
      <c r="A25" s="16" t="s">
        <v>38</v>
      </c>
      <c r="B25" s="7"/>
      <c r="C25" s="7"/>
      <c r="D25" s="7"/>
      <c r="E25" s="7"/>
      <c r="F25" s="7"/>
      <c r="G25" s="7"/>
      <c r="H25" s="7"/>
      <c r="I25" s="7"/>
      <c r="J25" s="7"/>
      <c r="K25" s="3"/>
      <c r="L25" s="1"/>
      <c r="M25" s="1"/>
    </row>
    <row r="26" spans="1:17" ht="14.5" x14ac:dyDescent="0.35">
      <c r="A26" s="16" t="s">
        <v>39</v>
      </c>
      <c r="B26" s="7"/>
      <c r="C26" s="7"/>
      <c r="D26" s="7"/>
      <c r="E26" s="7"/>
      <c r="F26" s="7"/>
      <c r="G26" s="7"/>
      <c r="H26" s="7"/>
      <c r="I26" s="7"/>
      <c r="J26" s="7"/>
      <c r="K26" s="3"/>
      <c r="L26" s="1"/>
      <c r="M26" s="1"/>
    </row>
    <row r="27" spans="1:17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7" ht="12.5" x14ac:dyDescent="0.25">
      <c r="A28" s="3" t="s">
        <v>40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7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I26"/>
  <sheetViews>
    <sheetView topLeftCell="A10" workbookViewId="0">
      <selection activeCell="B3" sqref="B3"/>
    </sheetView>
  </sheetViews>
  <sheetFormatPr defaultColWidth="12.6328125" defaultRowHeight="15" customHeight="1" x14ac:dyDescent="0.25"/>
  <sheetData>
    <row r="2" spans="1:9" ht="15" customHeight="1" x14ac:dyDescent="0.25">
      <c r="A2" s="8" t="s">
        <v>41</v>
      </c>
      <c r="B2" s="8"/>
      <c r="C2" s="8"/>
      <c r="D2" s="8"/>
      <c r="E2" s="8"/>
      <c r="F2" s="8"/>
    </row>
    <row r="3" spans="1:9" ht="15" customHeight="1" x14ac:dyDescent="0.25">
      <c r="A3" s="8" t="s">
        <v>42</v>
      </c>
      <c r="B3" s="8"/>
      <c r="C3" s="8"/>
      <c r="D3" s="8"/>
      <c r="E3" s="8"/>
      <c r="F3" s="8"/>
    </row>
    <row r="4" spans="1:9" ht="15" customHeight="1" x14ac:dyDescent="0.25">
      <c r="A4" s="8" t="s">
        <v>43</v>
      </c>
      <c r="B4" s="8"/>
      <c r="C4" s="8"/>
      <c r="D4" s="8"/>
      <c r="E4" s="8"/>
      <c r="F4" s="8"/>
    </row>
    <row r="5" spans="1:9" ht="15" customHeight="1" x14ac:dyDescent="0.25">
      <c r="A5" s="9" t="s">
        <v>44</v>
      </c>
    </row>
    <row r="6" spans="1:9" ht="15" customHeigh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ht="13" x14ac:dyDescent="0.3">
      <c r="A7" s="3"/>
      <c r="B7" s="27" t="s">
        <v>45</v>
      </c>
      <c r="C7" s="29" t="s">
        <v>46</v>
      </c>
      <c r="D7" s="3"/>
      <c r="E7" s="3"/>
      <c r="F7" s="3"/>
      <c r="G7" s="3"/>
      <c r="H7" s="3"/>
      <c r="I7" s="3"/>
    </row>
    <row r="8" spans="1:9" ht="15" customHeight="1" x14ac:dyDescent="0.25">
      <c r="A8" s="3"/>
      <c r="B8" s="28">
        <v>1</v>
      </c>
      <c r="C8" s="28">
        <v>8000</v>
      </c>
      <c r="D8" s="3"/>
      <c r="E8" s="3"/>
      <c r="F8" s="3"/>
      <c r="G8" s="3"/>
      <c r="H8" s="3"/>
      <c r="I8" s="3"/>
    </row>
    <row r="9" spans="1:9" ht="15" customHeight="1" x14ac:dyDescent="0.25">
      <c r="A9" s="3"/>
      <c r="B9" s="28">
        <v>2</v>
      </c>
      <c r="C9" s="28">
        <v>9500</v>
      </c>
      <c r="D9" s="3"/>
      <c r="E9" s="3"/>
      <c r="F9" s="3"/>
      <c r="G9" s="3"/>
      <c r="H9" s="3"/>
      <c r="I9" s="3"/>
    </row>
    <row r="10" spans="1:9" ht="15" customHeight="1" x14ac:dyDescent="0.25">
      <c r="A10" s="3"/>
      <c r="B10" s="28">
        <v>3</v>
      </c>
      <c r="C10" s="28">
        <v>10200</v>
      </c>
      <c r="D10" s="3"/>
      <c r="E10" s="3"/>
      <c r="F10" s="3"/>
      <c r="G10" s="3"/>
      <c r="H10" s="3"/>
      <c r="I10" s="3"/>
    </row>
    <row r="11" spans="1:9" ht="15" customHeight="1" x14ac:dyDescent="0.25">
      <c r="A11" s="3"/>
      <c r="B11" s="28">
        <v>4</v>
      </c>
      <c r="C11" s="28">
        <v>11000</v>
      </c>
      <c r="D11" s="3"/>
      <c r="E11" s="3"/>
      <c r="F11" s="3"/>
      <c r="G11" s="3"/>
      <c r="H11" s="3"/>
      <c r="I11" s="3"/>
    </row>
    <row r="12" spans="1:9" ht="15" customHeight="1" x14ac:dyDescent="0.25">
      <c r="A12" s="3"/>
      <c r="B12" s="28">
        <v>5</v>
      </c>
      <c r="C12" s="28">
        <v>50000</v>
      </c>
      <c r="D12" s="3"/>
      <c r="E12" s="3"/>
      <c r="F12" s="3"/>
      <c r="G12" s="3"/>
      <c r="H12" s="3"/>
      <c r="I12" s="3"/>
    </row>
    <row r="13" spans="1:9" ht="15" customHeight="1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ht="15" customHeight="1" x14ac:dyDescent="0.25">
      <c r="A14" s="3"/>
      <c r="B14" s="5" t="s">
        <v>8</v>
      </c>
      <c r="C14" s="5">
        <f>AVERAGE(C8:C12)</f>
        <v>17740</v>
      </c>
      <c r="D14" s="3"/>
      <c r="E14" s="3"/>
      <c r="F14" s="3"/>
      <c r="G14" s="3"/>
      <c r="H14" s="3"/>
      <c r="I14" s="3"/>
    </row>
    <row r="15" spans="1:9" ht="15" customHeight="1" x14ac:dyDescent="0.25">
      <c r="A15" s="3"/>
      <c r="B15" s="5" t="s">
        <v>9</v>
      </c>
      <c r="C15" s="5">
        <f>MEDIAN(C8:C12)</f>
        <v>10200</v>
      </c>
      <c r="D15" s="3"/>
      <c r="E15" s="3"/>
      <c r="F15" s="3"/>
      <c r="G15" s="3"/>
      <c r="H15" s="3"/>
      <c r="I15" s="3"/>
    </row>
    <row r="16" spans="1:9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3" x14ac:dyDescent="0.3">
      <c r="A17" s="2" t="s">
        <v>47</v>
      </c>
      <c r="B17" s="3"/>
      <c r="C17" s="3"/>
      <c r="D17" s="3"/>
      <c r="E17" s="3"/>
      <c r="F17" s="3"/>
      <c r="G17" s="3"/>
      <c r="H17" s="3"/>
      <c r="I17" s="3"/>
    </row>
    <row r="18" spans="1:9" ht="15" customHeight="1" x14ac:dyDescent="0.25">
      <c r="A18" s="3" t="s">
        <v>48</v>
      </c>
      <c r="B18" s="3"/>
      <c r="C18" s="3"/>
      <c r="D18" s="3"/>
      <c r="E18" s="3"/>
      <c r="F18" s="3"/>
      <c r="G18" s="3"/>
      <c r="H18" s="3"/>
      <c r="I18" s="3"/>
    </row>
    <row r="19" spans="1:9" ht="15" customHeight="1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ht="15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ht="13" x14ac:dyDescent="0.3">
      <c r="A21" s="2" t="s">
        <v>49</v>
      </c>
      <c r="B21" s="3"/>
      <c r="C21" s="3"/>
      <c r="D21" s="3"/>
      <c r="E21" s="3"/>
      <c r="F21" s="3"/>
      <c r="G21" s="3"/>
      <c r="H21" s="3"/>
      <c r="I21" s="3"/>
    </row>
    <row r="22" spans="1:9" ht="12.5" x14ac:dyDescent="0.25">
      <c r="A22" s="3" t="s">
        <v>50</v>
      </c>
      <c r="B22" s="3"/>
      <c r="C22" s="3"/>
      <c r="D22" s="3"/>
      <c r="E22" s="3"/>
      <c r="F22" s="3"/>
      <c r="G22" s="3"/>
      <c r="H22" s="3"/>
      <c r="I22" s="3"/>
    </row>
    <row r="23" spans="1:9" ht="12.5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ht="12.5" x14ac:dyDescent="0.25">
      <c r="A24" s="3" t="s">
        <v>51</v>
      </c>
      <c r="B24" s="3"/>
      <c r="C24" s="3"/>
      <c r="D24" s="3"/>
      <c r="E24" s="3"/>
      <c r="F24" s="3"/>
      <c r="G24" s="3"/>
      <c r="H24" s="3"/>
      <c r="I24" s="3"/>
    </row>
    <row r="25" spans="1:9" ht="12.5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ht="12.5" x14ac:dyDescent="0.25">
      <c r="A26" s="3"/>
      <c r="B26" s="3"/>
      <c r="C26" s="3"/>
      <c r="D26" s="3"/>
      <c r="E26" s="3"/>
      <c r="F26" s="3"/>
      <c r="G26" s="3"/>
      <c r="H26" s="3"/>
      <c r="I2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X33"/>
  <sheetViews>
    <sheetView topLeftCell="A19" workbookViewId="0">
      <selection activeCell="A29" sqref="A29"/>
    </sheetView>
  </sheetViews>
  <sheetFormatPr defaultColWidth="12.6328125" defaultRowHeight="15" customHeight="1" x14ac:dyDescent="0.25"/>
  <cols>
    <col min="5" max="5" width="13.453125" customWidth="1"/>
    <col min="7" max="7" width="15.453125" customWidth="1"/>
    <col min="8" max="8" width="13.26953125" customWidth="1"/>
  </cols>
  <sheetData>
    <row r="2" spans="1:24" ht="15" customHeight="1" x14ac:dyDescent="0.3">
      <c r="A2" s="67" t="s">
        <v>52</v>
      </c>
      <c r="B2" s="68"/>
      <c r="C2" s="68"/>
      <c r="D2" s="68"/>
      <c r="E2" s="68"/>
      <c r="F2" s="68"/>
      <c r="G2" s="68"/>
      <c r="H2" s="68"/>
      <c r="I2" s="1"/>
      <c r="J2" s="1"/>
      <c r="K2" s="1"/>
      <c r="L2" s="1"/>
      <c r="M2" s="1"/>
      <c r="N2" s="1"/>
    </row>
    <row r="3" spans="1:24" ht="15" customHeight="1" x14ac:dyDescent="0.3">
      <c r="A3" s="67" t="s">
        <v>53</v>
      </c>
      <c r="B3" s="68"/>
      <c r="C3" s="68"/>
      <c r="D3" s="68"/>
      <c r="E3" s="68"/>
      <c r="F3" s="68"/>
      <c r="G3" s="68"/>
      <c r="H3" s="68"/>
      <c r="I3" s="1"/>
      <c r="J3" s="1"/>
      <c r="K3" s="1"/>
      <c r="L3" s="1"/>
      <c r="M3" s="1"/>
      <c r="N3" s="1"/>
    </row>
    <row r="4" spans="1:24" ht="15" customHeight="1" x14ac:dyDescent="0.3">
      <c r="A4" s="67" t="s">
        <v>54</v>
      </c>
      <c r="B4" s="68"/>
      <c r="C4" s="68"/>
      <c r="D4" s="68"/>
      <c r="E4" s="68"/>
      <c r="F4" s="68"/>
      <c r="G4" s="68"/>
      <c r="H4" s="68"/>
      <c r="I4" s="1"/>
      <c r="J4" s="1"/>
      <c r="K4" s="1"/>
      <c r="L4" s="1"/>
      <c r="M4" s="1"/>
      <c r="N4" s="1"/>
    </row>
    <row r="5" spans="1:24" ht="15" customHeight="1" x14ac:dyDescent="0.25">
      <c r="A5" s="9" t="s">
        <v>55</v>
      </c>
    </row>
    <row r="6" spans="1:24" ht="15" customHeight="1" x14ac:dyDescent="0.35">
      <c r="A6" s="3"/>
      <c r="B6" s="17" t="s">
        <v>56</v>
      </c>
      <c r="C6" s="18" t="s">
        <v>7</v>
      </c>
      <c r="D6" s="7"/>
      <c r="E6" s="7"/>
      <c r="F6" s="3"/>
      <c r="G6" s="3"/>
      <c r="H6" s="3"/>
      <c r="I6" s="7"/>
      <c r="J6" s="7"/>
      <c r="K6" s="7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 customHeight="1" x14ac:dyDescent="0.35">
      <c r="A7" s="3"/>
      <c r="B7" s="19" t="s">
        <v>57</v>
      </c>
      <c r="C7" s="20">
        <v>25</v>
      </c>
      <c r="D7" s="7"/>
      <c r="E7" s="25" t="s">
        <v>58</v>
      </c>
      <c r="F7" s="25" t="s">
        <v>59</v>
      </c>
      <c r="G7" s="25" t="s">
        <v>60</v>
      </c>
      <c r="H7" s="3"/>
      <c r="I7" s="7"/>
      <c r="J7" s="7"/>
      <c r="K7" s="7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customHeight="1" x14ac:dyDescent="0.35">
      <c r="A8" s="3"/>
      <c r="B8" s="19" t="s">
        <v>61</v>
      </c>
      <c r="C8" s="20">
        <v>30</v>
      </c>
      <c r="D8" s="7"/>
      <c r="E8" s="26">
        <f>MAX($C$8:$C$11)</f>
        <v>40</v>
      </c>
      <c r="F8" s="26">
        <f>MIN($C$8:$C$11)</f>
        <v>27</v>
      </c>
      <c r="G8" s="26">
        <f>$E8-$F8</f>
        <v>13</v>
      </c>
      <c r="H8" s="7"/>
      <c r="I8" s="7"/>
      <c r="J8" s="7"/>
      <c r="K8" s="7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 x14ac:dyDescent="0.35">
      <c r="A9" s="3"/>
      <c r="B9" s="19" t="s">
        <v>62</v>
      </c>
      <c r="C9" s="20">
        <v>27</v>
      </c>
      <c r="D9" s="7"/>
      <c r="E9" s="7"/>
      <c r="F9" s="7"/>
      <c r="G9" s="7"/>
      <c r="H9" s="7"/>
      <c r="I9" s="7"/>
      <c r="J9" s="7"/>
      <c r="K9" s="7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 x14ac:dyDescent="0.35">
      <c r="A10" s="3"/>
      <c r="B10" s="19" t="s">
        <v>63</v>
      </c>
      <c r="C10" s="20">
        <v>35</v>
      </c>
      <c r="D10" s="3"/>
      <c r="E10" s="3"/>
      <c r="F10" s="3"/>
      <c r="G10" s="3"/>
      <c r="H10" s="3"/>
      <c r="I10" s="3"/>
      <c r="J10" s="3"/>
      <c r="K10" s="3"/>
      <c r="L10" s="3"/>
      <c r="R10" s="1"/>
      <c r="S10" s="1"/>
      <c r="T10" s="1"/>
      <c r="U10" s="1"/>
      <c r="V10" s="1"/>
      <c r="W10" s="1"/>
      <c r="X10" s="1"/>
    </row>
    <row r="11" spans="1:24" ht="15" customHeight="1" x14ac:dyDescent="0.35">
      <c r="A11" s="3"/>
      <c r="B11" s="21" t="s">
        <v>64</v>
      </c>
      <c r="C11" s="22">
        <v>40</v>
      </c>
      <c r="D11" s="3"/>
      <c r="E11" s="3"/>
      <c r="F11" s="3"/>
      <c r="G11" s="3"/>
      <c r="H11" s="3"/>
      <c r="I11" s="3"/>
      <c r="J11" s="3"/>
      <c r="K11" s="3"/>
      <c r="L11" s="3"/>
      <c r="R11" s="1"/>
      <c r="S11" s="1"/>
      <c r="T11" s="1"/>
      <c r="U11" s="1"/>
      <c r="V11" s="1"/>
      <c r="W11" s="1"/>
      <c r="X11" s="1"/>
    </row>
    <row r="12" spans="1:24" ht="1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R12" s="1"/>
      <c r="S12" s="1"/>
      <c r="T12" s="1"/>
      <c r="U12" s="1"/>
      <c r="V12" s="1"/>
      <c r="W12" s="1"/>
      <c r="X12" s="1"/>
    </row>
    <row r="13" spans="1:24" ht="1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R13" s="1"/>
      <c r="S13" s="1"/>
      <c r="T13" s="1"/>
      <c r="U13" s="1"/>
      <c r="V13" s="1"/>
      <c r="W13" s="1"/>
      <c r="X13" s="1"/>
    </row>
    <row r="14" spans="1:24" ht="15" customHeight="1" x14ac:dyDescent="0.35">
      <c r="A14" s="6" t="s">
        <v>65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R14" s="1"/>
      <c r="S14" s="1"/>
      <c r="T14" s="1"/>
      <c r="U14" s="1"/>
      <c r="V14" s="1"/>
      <c r="W14" s="1"/>
      <c r="X14" s="1"/>
    </row>
    <row r="15" spans="1:24" ht="15" customHeight="1" x14ac:dyDescent="0.35">
      <c r="A15" s="6" t="s">
        <v>66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R15" s="1"/>
      <c r="S15" s="1"/>
      <c r="T15" s="1"/>
      <c r="U15" s="1"/>
      <c r="V15" s="1"/>
      <c r="W15" s="1"/>
      <c r="X15" s="1"/>
    </row>
    <row r="16" spans="1:24" ht="15" customHeight="1" x14ac:dyDescent="0.35">
      <c r="A16" s="6" t="s">
        <v>67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R16" s="1"/>
      <c r="S16" s="1"/>
      <c r="T16" s="1"/>
      <c r="U16" s="1"/>
      <c r="V16" s="1"/>
      <c r="W16" s="1"/>
      <c r="X16" s="1"/>
    </row>
    <row r="17" spans="1:24" ht="15" customHeight="1" x14ac:dyDescent="0.35">
      <c r="A17" s="6" t="s">
        <v>68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R17" s="1"/>
      <c r="S17" s="1"/>
      <c r="T17" s="1"/>
      <c r="U17" s="1"/>
      <c r="V17" s="1"/>
      <c r="W17" s="1"/>
      <c r="X17" s="1"/>
    </row>
    <row r="18" spans="1:24" ht="1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R18" s="1"/>
      <c r="S18" s="1"/>
      <c r="T18" s="1"/>
      <c r="U18" s="1"/>
      <c r="V18" s="1"/>
      <c r="W18" s="1"/>
      <c r="X18" s="1"/>
    </row>
    <row r="19" spans="1:24" ht="15" customHeight="1" x14ac:dyDescent="0.35">
      <c r="A19" s="6" t="s">
        <v>69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R19" s="1"/>
      <c r="S19" s="1"/>
      <c r="T19" s="1"/>
      <c r="U19" s="1"/>
      <c r="V19" s="1"/>
      <c r="W19" s="1"/>
      <c r="X19" s="1"/>
    </row>
    <row r="20" spans="1:24" ht="14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R20" s="1"/>
      <c r="S20" s="1"/>
      <c r="T20" s="1"/>
      <c r="U20" s="1"/>
      <c r="V20" s="1"/>
      <c r="W20" s="1"/>
      <c r="X20" s="1"/>
    </row>
    <row r="21" spans="1:24" ht="14.5" x14ac:dyDescent="0.35">
      <c r="A21" s="6" t="s">
        <v>70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R21" s="1"/>
      <c r="S21" s="1"/>
      <c r="T21" s="1"/>
      <c r="U21" s="1"/>
      <c r="V21" s="1"/>
      <c r="W21" s="1"/>
      <c r="X21" s="1"/>
    </row>
    <row r="22" spans="1:24" ht="14.5" x14ac:dyDescent="0.35">
      <c r="A22" s="6" t="s">
        <v>71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R22" s="1"/>
      <c r="S22" s="1"/>
      <c r="T22" s="1"/>
      <c r="U22" s="1"/>
      <c r="V22" s="1"/>
      <c r="W22" s="1"/>
      <c r="X22" s="1"/>
    </row>
    <row r="23" spans="1:24" ht="1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R23" s="1"/>
      <c r="S23" s="1"/>
      <c r="T23" s="1"/>
      <c r="U23" s="1"/>
      <c r="V23" s="1"/>
      <c r="W23" s="1"/>
      <c r="X23" s="1"/>
    </row>
    <row r="24" spans="1:24" ht="14.5" x14ac:dyDescent="0.35">
      <c r="A24" s="6" t="s">
        <v>72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R24" s="1"/>
      <c r="S24" s="1"/>
      <c r="T24" s="1"/>
      <c r="U24" s="1"/>
      <c r="V24" s="1"/>
      <c r="W24" s="1"/>
      <c r="X24" s="1"/>
    </row>
    <row r="25" spans="1:24" ht="14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R25" s="1"/>
      <c r="S25" s="1"/>
      <c r="T25" s="1"/>
      <c r="U25" s="1"/>
      <c r="V25" s="1"/>
      <c r="W25" s="1"/>
      <c r="X25" s="1"/>
    </row>
    <row r="26" spans="1:24" ht="14.5" x14ac:dyDescent="0.35">
      <c r="A26" s="6" t="s">
        <v>73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R26" s="1"/>
      <c r="S26" s="1"/>
      <c r="T26" s="1"/>
      <c r="U26" s="1"/>
      <c r="V26" s="1"/>
      <c r="W26" s="1"/>
      <c r="X26" s="1"/>
    </row>
    <row r="27" spans="1:24" ht="14.5" x14ac:dyDescent="0.35">
      <c r="A27" s="6" t="s">
        <v>74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R27" s="1"/>
      <c r="S27" s="1"/>
      <c r="T27" s="1"/>
      <c r="U27" s="1"/>
      <c r="V27" s="1"/>
      <c r="W27" s="1"/>
      <c r="X27" s="1"/>
    </row>
    <row r="28" spans="1:24" ht="1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P28" s="1"/>
      <c r="Q28" s="1"/>
      <c r="R28" s="1"/>
      <c r="S28" s="1"/>
      <c r="T28" s="1"/>
      <c r="U28" s="1"/>
      <c r="V28" s="1"/>
      <c r="W28" s="1"/>
      <c r="X28" s="1"/>
    </row>
    <row r="29" spans="1:24" ht="21" x14ac:dyDescent="0.5">
      <c r="A29" s="23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24" ht="14.5" x14ac:dyDescent="0.35">
      <c r="A30" s="7"/>
      <c r="B30" s="6" t="s">
        <v>75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24" ht="14.5" x14ac:dyDescent="0.35">
      <c r="A31" s="7"/>
      <c r="B31" s="6" t="s">
        <v>76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24" ht="14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O36"/>
  <sheetViews>
    <sheetView topLeftCell="A16" workbookViewId="0">
      <selection activeCell="L15" sqref="L15"/>
    </sheetView>
  </sheetViews>
  <sheetFormatPr defaultColWidth="12.6328125" defaultRowHeight="15" customHeight="1" x14ac:dyDescent="0.25"/>
  <cols>
    <col min="2" max="2" width="12.6328125" customWidth="1"/>
    <col min="8" max="8" width="17.36328125" customWidth="1"/>
  </cols>
  <sheetData>
    <row r="2" spans="1:15" ht="15" customHeight="1" x14ac:dyDescent="0.25">
      <c r="A2" s="24" t="s">
        <v>77</v>
      </c>
      <c r="B2" s="24"/>
      <c r="C2" s="24"/>
      <c r="D2" s="24"/>
      <c r="E2" s="24"/>
      <c r="F2" s="24"/>
      <c r="G2" s="24"/>
    </row>
    <row r="3" spans="1:15" ht="15" customHeight="1" x14ac:dyDescent="0.25">
      <c r="A3" s="24" t="s">
        <v>78</v>
      </c>
      <c r="B3" s="24"/>
      <c r="C3" s="24"/>
      <c r="D3" s="24"/>
      <c r="E3" s="24"/>
      <c r="F3" s="24"/>
      <c r="G3" s="24"/>
    </row>
    <row r="4" spans="1:15" ht="15" customHeight="1" x14ac:dyDescent="0.25">
      <c r="A4" s="24" t="s">
        <v>79</v>
      </c>
      <c r="B4" s="24"/>
      <c r="C4" s="24"/>
      <c r="D4" s="24"/>
      <c r="E4" s="24"/>
      <c r="F4" s="24"/>
      <c r="G4" s="24"/>
    </row>
    <row r="5" spans="1:15" ht="15" customHeight="1" thickBot="1" x14ac:dyDescent="0.3">
      <c r="A5" s="9" t="s">
        <v>80</v>
      </c>
    </row>
    <row r="6" spans="1:15" ht="15" customHeight="1" thickBot="1" x14ac:dyDescent="0.35">
      <c r="A6" s="62"/>
      <c r="B6" s="64" t="s">
        <v>81</v>
      </c>
      <c r="C6" s="65" t="s">
        <v>98</v>
      </c>
      <c r="D6" s="63"/>
      <c r="E6" s="45"/>
      <c r="F6" s="45"/>
      <c r="G6" s="45"/>
      <c r="H6" s="45"/>
      <c r="I6" s="45"/>
      <c r="J6" s="45"/>
      <c r="K6" s="35"/>
      <c r="L6" s="33"/>
      <c r="M6" s="33"/>
      <c r="N6" s="33"/>
      <c r="O6" s="33"/>
    </row>
    <row r="7" spans="1:15" ht="15" customHeight="1" thickBot="1" x14ac:dyDescent="0.4">
      <c r="A7" s="55"/>
      <c r="B7" s="58" t="s">
        <v>82</v>
      </c>
      <c r="C7" s="59">
        <v>100</v>
      </c>
      <c r="D7" s="56"/>
      <c r="E7" s="48"/>
      <c r="F7" s="48"/>
      <c r="G7" s="48"/>
      <c r="H7" s="48"/>
      <c r="I7" s="48"/>
      <c r="J7" s="46"/>
      <c r="K7" s="35"/>
      <c r="L7" s="33"/>
      <c r="M7" s="33"/>
      <c r="N7" s="33"/>
      <c r="O7" s="33"/>
    </row>
    <row r="8" spans="1:15" ht="15" customHeight="1" thickBot="1" x14ac:dyDescent="0.4">
      <c r="A8" s="55"/>
      <c r="B8" s="58" t="s">
        <v>83</v>
      </c>
      <c r="C8" s="59">
        <v>105</v>
      </c>
      <c r="D8" s="56"/>
      <c r="E8" s="48"/>
      <c r="F8" s="48"/>
      <c r="G8" s="48"/>
      <c r="H8" s="48"/>
      <c r="I8" s="48"/>
      <c r="J8" s="46"/>
      <c r="K8" s="35"/>
      <c r="L8" s="33"/>
      <c r="M8" s="33"/>
      <c r="N8" s="33"/>
      <c r="O8" s="33"/>
    </row>
    <row r="9" spans="1:15" ht="15" customHeight="1" x14ac:dyDescent="0.35">
      <c r="A9" s="55"/>
      <c r="B9" s="58" t="s">
        <v>84</v>
      </c>
      <c r="C9" s="59">
        <v>98</v>
      </c>
      <c r="D9" s="56"/>
      <c r="E9" s="46"/>
      <c r="F9" s="46"/>
      <c r="G9" s="48"/>
      <c r="H9" s="48"/>
      <c r="I9" s="48"/>
      <c r="J9" s="48"/>
    </row>
    <row r="10" spans="1:15" ht="15" customHeight="1" x14ac:dyDescent="0.35">
      <c r="A10" s="55"/>
      <c r="B10" s="58" t="s">
        <v>86</v>
      </c>
      <c r="C10" s="59">
        <v>110</v>
      </c>
      <c r="D10" s="56"/>
      <c r="E10" s="46"/>
      <c r="F10" s="46"/>
      <c r="G10" s="48"/>
      <c r="H10" s="48"/>
      <c r="I10" s="48"/>
      <c r="J10" s="48"/>
    </row>
    <row r="11" spans="1:15" ht="15" customHeight="1" thickBot="1" x14ac:dyDescent="0.4">
      <c r="A11" s="55"/>
      <c r="B11" s="60" t="s">
        <v>87</v>
      </c>
      <c r="C11" s="61">
        <v>120</v>
      </c>
      <c r="D11" s="56"/>
      <c r="E11" s="46"/>
      <c r="F11" s="46"/>
      <c r="G11" s="48"/>
      <c r="H11" s="48"/>
      <c r="I11" s="48"/>
      <c r="J11" s="48"/>
    </row>
    <row r="12" spans="1:15" ht="15" customHeight="1" x14ac:dyDescent="0.3">
      <c r="A12" s="46"/>
      <c r="B12" s="57"/>
      <c r="C12" s="57"/>
      <c r="D12" s="46"/>
      <c r="E12" s="46"/>
      <c r="F12" s="46"/>
      <c r="G12" s="48"/>
      <c r="H12" s="48"/>
      <c r="I12" s="48"/>
      <c r="J12" s="48"/>
    </row>
    <row r="13" spans="1:15" ht="15" customHeight="1" x14ac:dyDescent="0.35">
      <c r="A13" s="46"/>
      <c r="B13" s="49" t="s">
        <v>58</v>
      </c>
      <c r="C13" s="49" t="s">
        <v>59</v>
      </c>
      <c r="D13" s="49" t="s">
        <v>60</v>
      </c>
      <c r="E13" s="46"/>
      <c r="F13" s="48"/>
      <c r="G13" s="48"/>
      <c r="H13" s="48"/>
      <c r="I13" s="48"/>
      <c r="J13" s="48"/>
    </row>
    <row r="14" spans="1:15" ht="15" customHeight="1" x14ac:dyDescent="0.35">
      <c r="A14" s="46"/>
      <c r="B14" s="47">
        <v>120</v>
      </c>
      <c r="C14" s="47">
        <v>98</v>
      </c>
      <c r="D14" s="47">
        <v>22</v>
      </c>
      <c r="E14" s="46"/>
      <c r="F14" s="48"/>
      <c r="G14" s="48"/>
      <c r="H14" s="48"/>
      <c r="I14" s="48"/>
      <c r="J14" s="48"/>
    </row>
    <row r="15" spans="1:15" ht="15" customHeight="1" x14ac:dyDescent="0.3">
      <c r="A15" s="46"/>
      <c r="B15" s="46"/>
      <c r="C15" s="46"/>
      <c r="D15" s="46"/>
      <c r="E15" s="46"/>
      <c r="F15" s="48"/>
      <c r="G15" s="48"/>
      <c r="H15" s="48"/>
      <c r="I15" s="48"/>
      <c r="J15" s="48"/>
    </row>
    <row r="16" spans="1:15" ht="15" customHeight="1" x14ac:dyDescent="0.3">
      <c r="A16" s="50" t="s">
        <v>85</v>
      </c>
      <c r="B16" s="46"/>
      <c r="C16" s="46"/>
      <c r="D16" s="46"/>
      <c r="E16" s="46"/>
      <c r="F16" s="46"/>
      <c r="G16" s="46"/>
      <c r="H16" s="46"/>
      <c r="I16" s="46"/>
      <c r="J16" s="48"/>
    </row>
    <row r="17" spans="1:15" ht="15" customHeight="1" x14ac:dyDescent="0.3">
      <c r="A17" s="50" t="s">
        <v>88</v>
      </c>
      <c r="B17" s="46"/>
      <c r="C17" s="46"/>
      <c r="D17" s="46"/>
      <c r="E17" s="46"/>
      <c r="F17" s="46"/>
      <c r="G17" s="46"/>
      <c r="H17" s="46"/>
      <c r="I17" s="46"/>
      <c r="J17" s="48"/>
    </row>
    <row r="18" spans="1:15" ht="15" customHeight="1" x14ac:dyDescent="0.3">
      <c r="A18" s="51" t="s">
        <v>89</v>
      </c>
      <c r="B18" s="46"/>
      <c r="C18" s="46"/>
      <c r="D18" s="46"/>
      <c r="E18" s="46"/>
      <c r="F18" s="46"/>
      <c r="G18" s="46"/>
      <c r="H18" s="46"/>
      <c r="I18" s="46"/>
      <c r="J18" s="48"/>
    </row>
    <row r="19" spans="1:15" ht="15" customHeight="1" x14ac:dyDescent="0.3">
      <c r="A19" s="46"/>
      <c r="B19" s="46"/>
      <c r="C19" s="46"/>
      <c r="D19" s="46"/>
      <c r="E19" s="46"/>
      <c r="F19" s="46"/>
      <c r="G19" s="46"/>
      <c r="H19" s="46"/>
      <c r="I19" s="46"/>
      <c r="J19" s="48"/>
    </row>
    <row r="20" spans="1:15" ht="15" customHeight="1" x14ac:dyDescent="0.3">
      <c r="A20" s="52" t="s">
        <v>90</v>
      </c>
      <c r="B20" s="46"/>
      <c r="C20" s="46"/>
      <c r="D20" s="46"/>
      <c r="E20" s="46"/>
      <c r="F20" s="46"/>
      <c r="G20" s="46"/>
      <c r="H20" s="46"/>
      <c r="I20" s="46"/>
      <c r="J20" s="48"/>
    </row>
    <row r="21" spans="1:15" ht="15" customHeight="1" x14ac:dyDescent="0.3">
      <c r="A21" s="53" t="s">
        <v>91</v>
      </c>
      <c r="B21" s="46"/>
      <c r="C21" s="46"/>
      <c r="D21" s="46"/>
      <c r="E21" s="46"/>
      <c r="F21" s="46"/>
      <c r="G21" s="46"/>
      <c r="H21" s="46"/>
      <c r="I21" s="46"/>
      <c r="J21" s="48"/>
    </row>
    <row r="22" spans="1:15" ht="15" customHeight="1" x14ac:dyDescent="0.3">
      <c r="A22" s="53" t="s">
        <v>92</v>
      </c>
      <c r="B22" s="46"/>
      <c r="C22" s="46"/>
      <c r="D22" s="46"/>
      <c r="E22" s="46"/>
      <c r="F22" s="46"/>
      <c r="G22" s="46"/>
      <c r="H22" s="46"/>
      <c r="I22" s="46"/>
      <c r="J22" s="48"/>
    </row>
    <row r="23" spans="1:15" ht="15" customHeight="1" x14ac:dyDescent="0.3">
      <c r="A23" s="53" t="s">
        <v>93</v>
      </c>
      <c r="B23" s="46"/>
      <c r="C23" s="46"/>
      <c r="D23" s="46"/>
      <c r="E23" s="46"/>
      <c r="F23" s="46"/>
      <c r="G23" s="46"/>
      <c r="H23" s="46"/>
      <c r="I23" s="46"/>
      <c r="J23" s="48"/>
    </row>
    <row r="24" spans="1:15" ht="15" customHeight="1" x14ac:dyDescent="0.3">
      <c r="A24" s="53" t="s">
        <v>94</v>
      </c>
      <c r="B24" s="46"/>
      <c r="C24" s="46"/>
      <c r="D24" s="46"/>
      <c r="E24" s="46"/>
      <c r="F24" s="48"/>
      <c r="G24" s="46"/>
      <c r="H24" s="46"/>
      <c r="I24" s="46"/>
      <c r="J24" s="48"/>
    </row>
    <row r="25" spans="1:15" ht="15" customHeight="1" x14ac:dyDescent="0.3">
      <c r="A25" s="48"/>
      <c r="B25" s="48"/>
      <c r="C25" s="48"/>
      <c r="D25" s="48"/>
      <c r="E25" s="48"/>
      <c r="F25" s="48"/>
      <c r="G25" s="46"/>
      <c r="H25" s="46"/>
      <c r="I25" s="46"/>
      <c r="J25" s="48"/>
    </row>
    <row r="26" spans="1:15" ht="15" customHeight="1" x14ac:dyDescent="0.3">
      <c r="A26" s="52" t="s">
        <v>95</v>
      </c>
      <c r="B26" s="46"/>
      <c r="C26" s="46"/>
      <c r="D26" s="46"/>
      <c r="E26" s="46"/>
      <c r="F26" s="46"/>
      <c r="G26" s="46"/>
      <c r="H26" s="46"/>
      <c r="I26" s="46"/>
      <c r="J26" s="48"/>
    </row>
    <row r="27" spans="1:15" ht="15" customHeight="1" x14ac:dyDescent="0.3">
      <c r="A27" s="54" t="s">
        <v>96</v>
      </c>
      <c r="B27" s="46"/>
      <c r="C27" s="46"/>
      <c r="D27" s="46"/>
      <c r="E27" s="46"/>
      <c r="F27" s="46"/>
      <c r="G27" s="46"/>
      <c r="H27" s="46"/>
      <c r="I27" s="46"/>
      <c r="J27" s="48"/>
    </row>
    <row r="28" spans="1:15" ht="15" customHeight="1" x14ac:dyDescent="0.3">
      <c r="A28" s="53" t="s">
        <v>97</v>
      </c>
      <c r="B28" s="46"/>
      <c r="C28" s="46"/>
      <c r="D28" s="46"/>
      <c r="E28" s="46"/>
      <c r="F28" s="46"/>
      <c r="G28" s="46"/>
      <c r="H28" s="46"/>
      <c r="I28" s="48"/>
      <c r="J28" s="48"/>
    </row>
    <row r="29" spans="1:15" ht="15" customHeight="1" thickBot="1" x14ac:dyDescent="0.3"/>
    <row r="30" spans="1:15" ht="15" customHeight="1" thickBot="1" x14ac:dyDescent="0.35">
      <c r="L30" s="33"/>
      <c r="M30" s="33"/>
      <c r="N30" s="33"/>
      <c r="O30" s="33"/>
    </row>
    <row r="31" spans="1:15" ht="15" customHeight="1" thickBot="1" x14ac:dyDescent="0.35">
      <c r="A31" s="33"/>
      <c r="B31" s="33"/>
      <c r="C31" s="33"/>
      <c r="D31" s="33"/>
      <c r="E31" s="33"/>
      <c r="F31" s="33"/>
      <c r="G31" s="33"/>
      <c r="H31" s="33"/>
      <c r="I31" s="33"/>
    </row>
    <row r="34" spans="1:9" ht="15" customHeight="1" thickBot="1" x14ac:dyDescent="0.3"/>
    <row r="35" spans="1:9" ht="15" customHeight="1" thickBot="1" x14ac:dyDescent="0.35">
      <c r="A35" s="33"/>
      <c r="B35" s="34"/>
      <c r="C35" s="33"/>
      <c r="D35" s="33"/>
      <c r="E35" s="33"/>
      <c r="F35" s="33"/>
      <c r="G35" s="33"/>
      <c r="H35" s="33"/>
      <c r="I35" s="33"/>
    </row>
    <row r="36" spans="1:9" ht="15" customHeight="1" thickBot="1" x14ac:dyDescent="0.35">
      <c r="A36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1AB2-2416-4C53-9CC3-7AAAA6EB4C8D}">
  <dimension ref="A2:J61"/>
  <sheetViews>
    <sheetView tabSelected="1" topLeftCell="A4" workbookViewId="0">
      <selection activeCell="L13" sqref="L13"/>
    </sheetView>
  </sheetViews>
  <sheetFormatPr defaultRowHeight="12.5" x14ac:dyDescent="0.25"/>
  <sheetData>
    <row r="2" spans="1:10" x14ac:dyDescent="0.25">
      <c r="A2" s="69" t="s">
        <v>99</v>
      </c>
      <c r="B2" s="70"/>
      <c r="C2" s="70"/>
      <c r="D2" s="70"/>
      <c r="E2" s="70"/>
      <c r="F2" s="70"/>
    </row>
    <row r="3" spans="1:10" x14ac:dyDescent="0.25">
      <c r="A3" s="69" t="s">
        <v>100</v>
      </c>
      <c r="B3" s="70"/>
      <c r="C3" s="70"/>
      <c r="D3" s="70"/>
      <c r="E3" s="70"/>
      <c r="F3" s="70"/>
    </row>
    <row r="4" spans="1:10" x14ac:dyDescent="0.25">
      <c r="A4" s="69" t="s">
        <v>101</v>
      </c>
      <c r="B4" s="70"/>
      <c r="C4" s="70"/>
      <c r="D4" s="70"/>
      <c r="E4" s="70"/>
      <c r="F4" s="70"/>
    </row>
    <row r="5" spans="1:10" x14ac:dyDescent="0.25">
      <c r="A5" s="69" t="s">
        <v>102</v>
      </c>
      <c r="B5" s="70"/>
      <c r="C5" s="70"/>
      <c r="D5" s="70"/>
      <c r="E5" s="70"/>
      <c r="F5" s="70"/>
    </row>
    <row r="6" spans="1:10" x14ac:dyDescent="0.25">
      <c r="A6" s="69" t="s">
        <v>103</v>
      </c>
      <c r="B6" s="70"/>
      <c r="C6" s="70"/>
      <c r="D6" s="70"/>
      <c r="E6" s="70"/>
      <c r="F6" s="70"/>
    </row>
    <row r="8" spans="1:10" ht="13" thickBot="1" x14ac:dyDescent="0.3">
      <c r="A8" s="71" t="s">
        <v>3</v>
      </c>
      <c r="B8" s="32"/>
      <c r="C8" s="32"/>
      <c r="D8" s="32"/>
      <c r="E8" s="32"/>
      <c r="F8" s="32"/>
      <c r="G8" s="32"/>
      <c r="H8" s="32"/>
      <c r="I8" s="32"/>
      <c r="J8" s="32"/>
    </row>
    <row r="9" spans="1:10" ht="17.5" thickBot="1" x14ac:dyDescent="0.35">
      <c r="A9" s="72"/>
      <c r="B9" s="38"/>
      <c r="C9" s="38"/>
      <c r="D9" s="38"/>
      <c r="E9" s="38"/>
      <c r="F9" s="38"/>
      <c r="G9" s="38"/>
      <c r="H9" s="38"/>
      <c r="I9" s="38"/>
      <c r="J9" s="32"/>
    </row>
    <row r="10" spans="1:10" ht="15" thickBot="1" x14ac:dyDescent="0.35">
      <c r="A10" s="40" t="s">
        <v>104</v>
      </c>
      <c r="B10" s="38"/>
      <c r="C10" s="38"/>
      <c r="D10" s="38"/>
      <c r="E10" s="38"/>
      <c r="F10" s="38"/>
      <c r="G10" s="38"/>
      <c r="H10" s="38"/>
      <c r="I10" s="32"/>
      <c r="J10" s="32"/>
    </row>
    <row r="11" spans="1:10" ht="14.5" thickBot="1" x14ac:dyDescent="0.35">
      <c r="A11" s="73"/>
      <c r="B11" s="38"/>
      <c r="C11" s="38"/>
      <c r="D11" s="38"/>
      <c r="E11" s="38"/>
      <c r="F11" s="38"/>
      <c r="G11" s="38"/>
      <c r="H11" s="38"/>
      <c r="I11" s="32"/>
      <c r="J11" s="32"/>
    </row>
    <row r="12" spans="1:10" ht="15" thickBot="1" x14ac:dyDescent="0.35">
      <c r="A12" s="38"/>
      <c r="B12" s="40" t="s">
        <v>105</v>
      </c>
      <c r="C12" s="38"/>
      <c r="D12" s="38"/>
      <c r="E12" s="38"/>
      <c r="F12" s="38"/>
      <c r="G12" s="38"/>
      <c r="H12" s="38"/>
      <c r="I12" s="32"/>
      <c r="J12" s="32"/>
    </row>
    <row r="13" spans="1:10" ht="14.5" thickBot="1" x14ac:dyDescent="0.35">
      <c r="A13" s="38"/>
      <c r="B13" s="73"/>
      <c r="C13" s="38"/>
      <c r="D13" s="38"/>
      <c r="E13" s="38"/>
      <c r="F13" s="38"/>
      <c r="G13" s="38"/>
      <c r="H13" s="38"/>
      <c r="I13" s="32"/>
      <c r="J13" s="32"/>
    </row>
    <row r="14" spans="1:10" ht="15" thickBot="1" x14ac:dyDescent="0.35">
      <c r="A14" s="38"/>
      <c r="B14" s="40" t="s">
        <v>106</v>
      </c>
      <c r="C14" s="38"/>
      <c r="D14" s="38"/>
      <c r="E14" s="38"/>
      <c r="F14" s="38"/>
      <c r="G14" s="38"/>
      <c r="H14" s="38"/>
      <c r="I14" s="32"/>
      <c r="J14" s="32"/>
    </row>
    <row r="15" spans="1:10" ht="17.5" thickBot="1" x14ac:dyDescent="0.35">
      <c r="A15" s="72"/>
      <c r="B15" s="38"/>
      <c r="C15" s="38"/>
      <c r="D15" s="38"/>
      <c r="E15" s="38"/>
      <c r="F15" s="38"/>
      <c r="G15" s="38"/>
      <c r="H15" s="38"/>
      <c r="I15" s="38"/>
      <c r="J15" s="32"/>
    </row>
    <row r="16" spans="1:10" ht="14.5" thickBot="1" x14ac:dyDescent="0.35">
      <c r="A16" s="73"/>
      <c r="B16" s="38"/>
      <c r="C16" s="38"/>
      <c r="D16" s="38"/>
      <c r="E16" s="38"/>
      <c r="F16" s="38"/>
      <c r="G16" s="38"/>
      <c r="H16" s="38"/>
      <c r="I16" s="38"/>
      <c r="J16" s="32"/>
    </row>
    <row r="17" spans="1:10" ht="15" thickBot="1" x14ac:dyDescent="0.35">
      <c r="A17" s="38"/>
      <c r="B17" s="40" t="s">
        <v>107</v>
      </c>
      <c r="C17" s="38"/>
      <c r="D17" s="38"/>
      <c r="E17" s="38"/>
      <c r="F17" s="38"/>
      <c r="G17" s="38"/>
      <c r="H17" s="38"/>
      <c r="I17" s="38"/>
      <c r="J17" s="32"/>
    </row>
    <row r="18" spans="1:10" ht="14.5" thickBot="1" x14ac:dyDescent="0.35">
      <c r="A18" s="38"/>
      <c r="B18" s="73"/>
      <c r="C18" s="38"/>
      <c r="D18" s="38"/>
      <c r="E18" s="38"/>
      <c r="F18" s="38"/>
      <c r="G18" s="38"/>
      <c r="H18" s="38"/>
      <c r="I18" s="38"/>
      <c r="J18" s="32"/>
    </row>
    <row r="19" spans="1:10" ht="15" thickBot="1" x14ac:dyDescent="0.35">
      <c r="A19" s="38"/>
      <c r="B19" s="40" t="s">
        <v>108</v>
      </c>
      <c r="C19" s="38"/>
      <c r="D19" s="38"/>
      <c r="E19" s="38"/>
      <c r="F19" s="38"/>
      <c r="G19" s="38"/>
      <c r="H19" s="38"/>
      <c r="I19" s="38"/>
      <c r="J19" s="32"/>
    </row>
    <row r="20" spans="1:10" ht="17.5" thickBot="1" x14ac:dyDescent="0.35">
      <c r="A20" s="72"/>
      <c r="B20" s="38"/>
      <c r="C20" s="38"/>
      <c r="D20" s="38"/>
      <c r="E20" s="38"/>
      <c r="F20" s="38"/>
      <c r="G20" s="38"/>
      <c r="H20" s="38"/>
      <c r="I20" s="38"/>
      <c r="J20" s="32"/>
    </row>
    <row r="21" spans="1:10" ht="14.5" thickBot="1" x14ac:dyDescent="0.35">
      <c r="A21" s="38"/>
      <c r="B21" s="74"/>
      <c r="C21" s="74"/>
      <c r="D21" s="38"/>
      <c r="E21" s="38"/>
      <c r="F21" s="38"/>
      <c r="G21" s="38"/>
      <c r="H21" s="38"/>
      <c r="I21" s="38"/>
      <c r="J21" s="32"/>
    </row>
    <row r="22" spans="1:10" ht="15" thickBot="1" x14ac:dyDescent="0.35">
      <c r="A22" s="36"/>
      <c r="B22" s="75" t="s">
        <v>109</v>
      </c>
      <c r="C22" s="75" t="s">
        <v>110</v>
      </c>
      <c r="D22" s="38"/>
      <c r="E22" s="38"/>
      <c r="F22" s="38"/>
      <c r="G22" s="38"/>
      <c r="H22" s="38"/>
      <c r="I22" s="38"/>
      <c r="J22" s="32"/>
    </row>
    <row r="23" spans="1:10" ht="29.5" thickBot="1" x14ac:dyDescent="0.35">
      <c r="A23" s="36"/>
      <c r="B23" s="76" t="s">
        <v>111</v>
      </c>
      <c r="C23" s="76">
        <v>6</v>
      </c>
      <c r="D23" s="38"/>
      <c r="E23" s="38"/>
      <c r="F23" s="38"/>
      <c r="G23" s="38"/>
      <c r="H23" s="38"/>
      <c r="I23" s="38"/>
      <c r="J23" s="32"/>
    </row>
    <row r="24" spans="1:10" ht="29.5" thickBot="1" x14ac:dyDescent="0.35">
      <c r="A24" s="36"/>
      <c r="B24" s="76" t="s">
        <v>112</v>
      </c>
      <c r="C24" s="76">
        <v>15</v>
      </c>
      <c r="D24" s="38"/>
      <c r="E24" s="38"/>
      <c r="F24" s="38"/>
      <c r="G24" s="38"/>
      <c r="H24" s="38"/>
      <c r="I24" s="38"/>
      <c r="J24" s="32"/>
    </row>
    <row r="25" spans="1:10" ht="14.5" thickBot="1" x14ac:dyDescent="0.35">
      <c r="A25" s="73"/>
      <c r="B25" s="38"/>
      <c r="C25" s="38"/>
      <c r="D25" s="38"/>
      <c r="E25" s="38"/>
      <c r="F25" s="38"/>
      <c r="G25" s="38"/>
      <c r="H25" s="38"/>
      <c r="I25" s="38"/>
      <c r="J25" s="32"/>
    </row>
    <row r="26" spans="1:10" ht="15" thickBot="1" x14ac:dyDescent="0.35">
      <c r="A26" s="42" t="s">
        <v>113</v>
      </c>
      <c r="B26" s="38"/>
      <c r="C26" s="38"/>
      <c r="D26" s="38"/>
      <c r="E26" s="38"/>
      <c r="F26" s="38"/>
      <c r="G26" s="38"/>
      <c r="H26" s="38"/>
      <c r="I26" s="38"/>
      <c r="J26" s="32"/>
    </row>
    <row r="27" spans="1:10" ht="14.5" thickBot="1" x14ac:dyDescent="0.35">
      <c r="A27" s="73"/>
      <c r="B27" s="38"/>
      <c r="C27" s="38"/>
      <c r="D27" s="38"/>
      <c r="E27" s="38"/>
      <c r="F27" s="38"/>
      <c r="G27" s="38"/>
      <c r="H27" s="38"/>
      <c r="I27" s="38"/>
      <c r="J27" s="32"/>
    </row>
    <row r="28" spans="1:10" ht="15" thickBot="1" x14ac:dyDescent="0.35">
      <c r="A28" s="42" t="s">
        <v>114</v>
      </c>
      <c r="B28" s="38"/>
      <c r="C28" s="38"/>
      <c r="D28" s="38"/>
      <c r="E28" s="38"/>
      <c r="F28" s="38"/>
      <c r="G28" s="38"/>
      <c r="H28" s="38"/>
      <c r="I28" s="38"/>
      <c r="J28" s="32"/>
    </row>
    <row r="29" spans="1:10" ht="14.5" thickBot="1" x14ac:dyDescent="0.35">
      <c r="A29" s="38"/>
      <c r="B29" s="38"/>
      <c r="C29" s="38"/>
      <c r="D29" s="38"/>
      <c r="E29" s="38"/>
      <c r="F29" s="38"/>
      <c r="G29" s="38"/>
      <c r="H29" s="38"/>
      <c r="I29" s="38"/>
      <c r="J29" s="32"/>
    </row>
    <row r="30" spans="1:10" ht="14.5" thickBot="1" x14ac:dyDescent="0.35">
      <c r="A30" s="38"/>
      <c r="B30" s="38"/>
      <c r="C30" s="38"/>
      <c r="D30" s="38"/>
      <c r="E30" s="38"/>
      <c r="F30" s="38"/>
      <c r="G30" s="38"/>
      <c r="H30" s="38"/>
      <c r="I30" s="38"/>
      <c r="J30" s="32"/>
    </row>
    <row r="31" spans="1:10" ht="14.5" thickBot="1" x14ac:dyDescent="0.35">
      <c r="A31" s="38"/>
      <c r="B31" s="38"/>
      <c r="C31" s="38"/>
      <c r="D31" s="38"/>
      <c r="E31" s="38"/>
      <c r="F31" s="38"/>
      <c r="G31" s="38"/>
      <c r="H31" s="38"/>
      <c r="I31" s="38"/>
      <c r="J31" s="32"/>
    </row>
    <row r="32" spans="1:10" ht="17.5" thickBot="1" x14ac:dyDescent="0.35">
      <c r="A32" s="72" t="s">
        <v>115</v>
      </c>
      <c r="B32" s="38"/>
      <c r="C32" s="38"/>
      <c r="D32" s="38"/>
      <c r="E32" s="38"/>
      <c r="F32" s="38"/>
      <c r="G32" s="38"/>
      <c r="H32" s="38"/>
      <c r="I32" s="38"/>
      <c r="J32" s="32"/>
    </row>
    <row r="33" spans="1:10" ht="14.5" thickBot="1" x14ac:dyDescent="0.35">
      <c r="A33" s="73"/>
      <c r="B33" s="38"/>
      <c r="C33" s="38"/>
      <c r="D33" s="38"/>
      <c r="E33" s="38"/>
      <c r="F33" s="38"/>
      <c r="G33" s="38"/>
      <c r="H33" s="38"/>
      <c r="I33" s="38"/>
      <c r="J33" s="32"/>
    </row>
    <row r="34" spans="1:10" ht="29.5" thickBot="1" x14ac:dyDescent="0.35">
      <c r="A34" s="38"/>
      <c r="B34" s="43" t="s">
        <v>116</v>
      </c>
      <c r="C34" s="38"/>
      <c r="D34" s="38"/>
      <c r="E34" s="38"/>
      <c r="F34" s="38"/>
      <c r="G34" s="38"/>
      <c r="H34" s="38"/>
      <c r="I34" s="38"/>
      <c r="J34" s="32"/>
    </row>
    <row r="35" spans="1:10" ht="14.5" thickBot="1" x14ac:dyDescent="0.35">
      <c r="A35" s="38"/>
      <c r="B35" s="73"/>
      <c r="C35" s="38"/>
      <c r="D35" s="38"/>
      <c r="E35" s="38"/>
      <c r="F35" s="38"/>
      <c r="G35" s="38"/>
      <c r="H35" s="38"/>
      <c r="I35" s="38"/>
      <c r="J35" s="32"/>
    </row>
    <row r="36" spans="1:10" ht="15" thickBot="1" x14ac:dyDescent="0.35">
      <c r="A36" s="38"/>
      <c r="B36" s="73"/>
      <c r="C36" s="42" t="s">
        <v>117</v>
      </c>
      <c r="D36" s="38"/>
      <c r="E36" s="38"/>
      <c r="F36" s="38"/>
      <c r="G36" s="38"/>
      <c r="H36" s="38"/>
      <c r="I36" s="38"/>
      <c r="J36" s="32"/>
    </row>
    <row r="37" spans="1:10" ht="14.5" thickBot="1" x14ac:dyDescent="0.35">
      <c r="A37" s="38"/>
      <c r="B37" s="73"/>
      <c r="C37" s="73"/>
      <c r="D37" s="38"/>
      <c r="E37" s="38"/>
      <c r="F37" s="38"/>
      <c r="G37" s="38"/>
      <c r="H37" s="38"/>
      <c r="I37" s="38"/>
      <c r="J37" s="32"/>
    </row>
    <row r="38" spans="1:10" ht="15" thickBot="1" x14ac:dyDescent="0.35">
      <c r="A38" s="38"/>
      <c r="B38" s="38"/>
      <c r="C38" s="42" t="s">
        <v>118</v>
      </c>
      <c r="D38" s="38"/>
      <c r="E38" s="38"/>
      <c r="F38" s="38"/>
      <c r="G38" s="38"/>
      <c r="H38" s="38"/>
      <c r="I38" s="38"/>
      <c r="J38" s="32"/>
    </row>
    <row r="39" spans="1:10" ht="14.5" thickBot="1" x14ac:dyDescent="0.35">
      <c r="A39" s="38"/>
      <c r="B39" s="38"/>
      <c r="C39" s="73"/>
      <c r="D39" s="38"/>
      <c r="E39" s="38"/>
      <c r="F39" s="38"/>
      <c r="G39" s="38"/>
      <c r="H39" s="38"/>
      <c r="I39" s="38"/>
      <c r="J39" s="32"/>
    </row>
    <row r="40" spans="1:10" ht="15" thickBot="1" x14ac:dyDescent="0.35">
      <c r="A40" s="38"/>
      <c r="B40" s="38"/>
      <c r="C40" s="42" t="s">
        <v>119</v>
      </c>
      <c r="D40" s="38"/>
      <c r="E40" s="38"/>
      <c r="F40" s="38"/>
      <c r="G40" s="38"/>
      <c r="H40" s="38"/>
      <c r="I40" s="38"/>
      <c r="J40" s="32"/>
    </row>
    <row r="41" spans="1:10" ht="14.5" thickBot="1" x14ac:dyDescent="0.35">
      <c r="A41" s="38"/>
      <c r="B41" s="38"/>
      <c r="C41" s="38"/>
      <c r="D41" s="38"/>
      <c r="E41" s="38"/>
      <c r="F41" s="38"/>
      <c r="G41" s="38"/>
      <c r="H41" s="38"/>
      <c r="I41" s="38"/>
      <c r="J41" s="32"/>
    </row>
    <row r="42" spans="1:10" ht="29.5" thickBot="1" x14ac:dyDescent="0.35">
      <c r="A42" s="38"/>
      <c r="B42" s="43" t="s">
        <v>120</v>
      </c>
      <c r="C42" s="38"/>
      <c r="D42" s="38"/>
      <c r="E42" s="38"/>
      <c r="F42" s="38"/>
      <c r="G42" s="38"/>
      <c r="H42" s="38"/>
      <c r="I42" s="38"/>
      <c r="J42" s="32"/>
    </row>
    <row r="43" spans="1:10" ht="14.5" thickBot="1" x14ac:dyDescent="0.35">
      <c r="A43" s="38"/>
      <c r="B43" s="73"/>
      <c r="C43" s="38"/>
      <c r="D43" s="38"/>
      <c r="E43" s="38"/>
      <c r="F43" s="38"/>
      <c r="G43" s="38"/>
      <c r="H43" s="38"/>
      <c r="I43" s="38"/>
      <c r="J43" s="32"/>
    </row>
    <row r="44" spans="1:10" ht="15" thickBot="1" x14ac:dyDescent="0.35">
      <c r="A44" s="38"/>
      <c r="B44" s="73"/>
      <c r="C44" s="42" t="s">
        <v>121</v>
      </c>
      <c r="D44" s="38"/>
      <c r="E44" s="38"/>
      <c r="F44" s="38"/>
      <c r="G44" s="38"/>
      <c r="H44" s="38"/>
      <c r="I44" s="38"/>
      <c r="J44" s="32"/>
    </row>
    <row r="45" spans="1:10" ht="14.5" thickBot="1" x14ac:dyDescent="0.35">
      <c r="A45" s="38"/>
      <c r="B45" s="73"/>
      <c r="C45" s="73"/>
      <c r="D45" s="38"/>
      <c r="E45" s="38"/>
      <c r="F45" s="38"/>
      <c r="G45" s="38"/>
      <c r="H45" s="38"/>
      <c r="I45" s="38"/>
      <c r="J45" s="32"/>
    </row>
    <row r="46" spans="1:10" ht="15" thickBot="1" x14ac:dyDescent="0.35">
      <c r="A46" s="38"/>
      <c r="B46" s="38"/>
      <c r="C46" s="42" t="s">
        <v>122</v>
      </c>
      <c r="D46" s="38"/>
      <c r="E46" s="38"/>
      <c r="F46" s="38"/>
      <c r="G46" s="38"/>
      <c r="H46" s="38"/>
      <c r="I46" s="38"/>
      <c r="J46" s="32"/>
    </row>
    <row r="47" spans="1:10" ht="14.5" thickBot="1" x14ac:dyDescent="0.35">
      <c r="A47" s="38"/>
      <c r="B47" s="38"/>
      <c r="C47" s="73"/>
      <c r="D47" s="38"/>
      <c r="E47" s="38"/>
      <c r="F47" s="38"/>
      <c r="G47" s="38"/>
      <c r="H47" s="38"/>
      <c r="I47" s="38"/>
      <c r="J47" s="32"/>
    </row>
    <row r="48" spans="1:10" ht="15" thickBot="1" x14ac:dyDescent="0.35">
      <c r="A48" s="38"/>
      <c r="B48" s="38"/>
      <c r="C48" s="42" t="s">
        <v>123</v>
      </c>
      <c r="D48" s="38"/>
      <c r="E48" s="38"/>
      <c r="F48" s="38"/>
      <c r="G48" s="38"/>
      <c r="H48" s="38"/>
      <c r="I48" s="38"/>
      <c r="J48" s="32"/>
    </row>
    <row r="49" spans="1:10" ht="14.5" thickBot="1" x14ac:dyDescent="0.35">
      <c r="A49" s="38"/>
      <c r="B49" s="38"/>
      <c r="C49" s="38"/>
      <c r="D49" s="38"/>
      <c r="E49" s="38"/>
      <c r="F49" s="38"/>
      <c r="G49" s="38"/>
      <c r="H49" s="38"/>
      <c r="I49" s="38"/>
      <c r="J49" s="32"/>
    </row>
    <row r="50" spans="1:10" ht="17.5" thickBot="1" x14ac:dyDescent="0.35">
      <c r="A50" s="72" t="s">
        <v>124</v>
      </c>
      <c r="B50" s="38"/>
      <c r="C50" s="38"/>
      <c r="D50" s="38"/>
      <c r="E50" s="38"/>
      <c r="F50" s="38"/>
      <c r="G50" s="38"/>
      <c r="H50" s="38"/>
      <c r="I50" s="38"/>
      <c r="J50" s="32"/>
    </row>
    <row r="51" spans="1:10" ht="14.5" thickBot="1" x14ac:dyDescent="0.35">
      <c r="A51" s="38"/>
      <c r="B51" s="38"/>
      <c r="C51" s="38"/>
      <c r="D51" s="38"/>
      <c r="E51" s="38"/>
      <c r="F51" s="38"/>
      <c r="G51" s="38"/>
      <c r="H51" s="38"/>
      <c r="I51" s="38"/>
      <c r="J51" s="32"/>
    </row>
    <row r="52" spans="1:10" ht="17.5" thickBot="1" x14ac:dyDescent="0.35">
      <c r="A52" s="38"/>
      <c r="B52" s="72" t="s">
        <v>125</v>
      </c>
      <c r="C52" s="38"/>
      <c r="D52" s="38"/>
      <c r="E52" s="38"/>
      <c r="F52" s="38"/>
      <c r="G52" s="38"/>
      <c r="H52" s="38"/>
      <c r="I52" s="38"/>
      <c r="J52" s="32"/>
    </row>
    <row r="53" spans="1:10" ht="14.5" thickBot="1" x14ac:dyDescent="0.35">
      <c r="A53" s="38"/>
      <c r="B53" s="38"/>
      <c r="C53" s="38"/>
      <c r="D53" s="38"/>
      <c r="E53" s="38"/>
      <c r="F53" s="38"/>
      <c r="G53" s="38"/>
      <c r="H53" s="38"/>
      <c r="I53" s="38"/>
      <c r="J53" s="32"/>
    </row>
    <row r="54" spans="1:10" ht="17.5" thickBot="1" x14ac:dyDescent="0.35">
      <c r="A54" s="38"/>
      <c r="B54" s="38"/>
      <c r="C54" s="72" t="s">
        <v>126</v>
      </c>
      <c r="D54" s="38"/>
      <c r="E54" s="38"/>
      <c r="F54" s="38"/>
      <c r="G54" s="38"/>
      <c r="H54" s="38"/>
      <c r="I54" s="38"/>
      <c r="J54" s="32"/>
    </row>
    <row r="55" spans="1:10" ht="14.5" thickBot="1" x14ac:dyDescent="0.35">
      <c r="A55" s="38"/>
      <c r="B55" s="38"/>
      <c r="C55" s="73"/>
      <c r="D55" s="38"/>
      <c r="E55" s="38"/>
      <c r="F55" s="38"/>
      <c r="G55" s="38"/>
      <c r="H55" s="38"/>
      <c r="I55" s="38"/>
      <c r="J55" s="32"/>
    </row>
    <row r="56" spans="1:10" ht="15" thickBot="1" x14ac:dyDescent="0.35">
      <c r="A56" s="38"/>
      <c r="B56" s="38"/>
      <c r="C56" s="38"/>
      <c r="D56" s="42" t="s">
        <v>127</v>
      </c>
      <c r="E56" s="38"/>
      <c r="F56" s="38"/>
      <c r="G56" s="38"/>
      <c r="H56" s="38"/>
      <c r="I56" s="38"/>
      <c r="J56" s="32"/>
    </row>
    <row r="57" spans="1:10" ht="14.5" thickBot="1" x14ac:dyDescent="0.35">
      <c r="A57" s="38"/>
      <c r="B57" s="38"/>
      <c r="C57" s="38"/>
      <c r="D57" s="73"/>
      <c r="E57" s="38"/>
      <c r="F57" s="38"/>
      <c r="G57" s="38"/>
      <c r="H57" s="38"/>
      <c r="I57" s="38"/>
      <c r="J57" s="32"/>
    </row>
    <row r="58" spans="1:10" ht="15" thickBot="1" x14ac:dyDescent="0.35">
      <c r="A58" s="38"/>
      <c r="B58" s="38"/>
      <c r="C58" s="38"/>
      <c r="D58" s="42" t="s">
        <v>128</v>
      </c>
      <c r="E58" s="38"/>
      <c r="F58" s="38"/>
      <c r="G58" s="38"/>
      <c r="H58" s="38"/>
      <c r="I58" s="38"/>
      <c r="J58" s="32"/>
    </row>
    <row r="59" spans="1:10" ht="14.5" thickBot="1" x14ac:dyDescent="0.35">
      <c r="A59" s="38"/>
      <c r="B59" s="38"/>
      <c r="C59" s="38"/>
      <c r="D59" s="73"/>
      <c r="E59" s="38"/>
      <c r="F59" s="38"/>
      <c r="G59" s="38"/>
      <c r="H59" s="38"/>
      <c r="I59" s="38"/>
      <c r="J59" s="32"/>
    </row>
    <row r="60" spans="1:10" ht="15" thickBot="1" x14ac:dyDescent="0.35">
      <c r="A60" s="38"/>
      <c r="B60" s="38"/>
      <c r="C60" s="38"/>
      <c r="D60" s="42" t="s">
        <v>129</v>
      </c>
      <c r="E60" s="38"/>
      <c r="F60" s="38"/>
      <c r="G60" s="38"/>
      <c r="H60" s="38"/>
      <c r="I60" s="38"/>
      <c r="J60" s="32"/>
    </row>
    <row r="61" spans="1:10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F72E-B831-4BFA-A2BD-44B8EB7C41E4}">
  <dimension ref="A2:N59"/>
  <sheetViews>
    <sheetView topLeftCell="A4" workbookViewId="0">
      <selection activeCell="L4" sqref="L4"/>
    </sheetView>
  </sheetViews>
  <sheetFormatPr defaultRowHeight="12.5" x14ac:dyDescent="0.25"/>
  <cols>
    <col min="2" max="2" width="15.90625" customWidth="1"/>
  </cols>
  <sheetData>
    <row r="2" spans="1:14" x14ac:dyDescent="0.25">
      <c r="A2" s="69" t="s">
        <v>130</v>
      </c>
      <c r="B2" s="70"/>
      <c r="C2" s="70"/>
      <c r="D2" s="70"/>
      <c r="E2" s="70"/>
      <c r="F2" s="70"/>
      <c r="G2" s="70"/>
      <c r="H2" s="70"/>
    </row>
    <row r="3" spans="1:14" x14ac:dyDescent="0.25">
      <c r="A3" s="69" t="s">
        <v>131</v>
      </c>
      <c r="B3" s="70"/>
      <c r="C3" s="70"/>
      <c r="D3" s="70"/>
      <c r="E3" s="70"/>
      <c r="F3" s="70"/>
      <c r="G3" s="70"/>
      <c r="H3" s="70"/>
    </row>
    <row r="4" spans="1:14" x14ac:dyDescent="0.25">
      <c r="A4" s="69" t="s">
        <v>132</v>
      </c>
      <c r="B4" s="70"/>
      <c r="C4" s="70"/>
      <c r="D4" s="70"/>
      <c r="E4" s="70"/>
      <c r="F4" s="70"/>
      <c r="G4" s="70"/>
      <c r="H4" s="70"/>
    </row>
    <row r="5" spans="1:14" x14ac:dyDescent="0.25">
      <c r="A5" s="69" t="s">
        <v>133</v>
      </c>
      <c r="B5" s="70"/>
      <c r="C5" s="70"/>
      <c r="D5" s="70"/>
      <c r="E5" s="70"/>
      <c r="F5" s="70"/>
      <c r="G5" s="70"/>
      <c r="H5" s="70"/>
    </row>
    <row r="6" spans="1:14" x14ac:dyDescent="0.25">
      <c r="A6" s="69" t="s">
        <v>134</v>
      </c>
      <c r="B6" s="70"/>
      <c r="C6" s="70"/>
      <c r="D6" s="70"/>
      <c r="E6" s="70"/>
      <c r="F6" s="70"/>
      <c r="G6" s="70"/>
      <c r="H6" s="70"/>
    </row>
    <row r="8" spans="1:14" x14ac:dyDescent="0.25">
      <c r="A8" s="71" t="s">
        <v>55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</row>
    <row r="9" spans="1:14" ht="13" thickBot="1" x14ac:dyDescent="0.3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 ht="15" thickBot="1" x14ac:dyDescent="0.35">
      <c r="A10" s="41" t="s">
        <v>135</v>
      </c>
      <c r="B10" s="38"/>
      <c r="C10" s="38"/>
      <c r="D10" s="38"/>
      <c r="E10" s="38"/>
      <c r="F10" s="38"/>
      <c r="G10" s="32"/>
      <c r="H10" s="32"/>
      <c r="I10" s="32"/>
      <c r="J10" s="32"/>
      <c r="K10" s="32"/>
      <c r="L10" s="32"/>
      <c r="M10" s="32"/>
      <c r="N10" s="32"/>
    </row>
    <row r="11" spans="1:14" ht="14.5" thickBot="1" x14ac:dyDescent="0.35">
      <c r="A11" s="73"/>
      <c r="B11" s="38"/>
      <c r="C11" s="38"/>
      <c r="D11" s="38"/>
      <c r="E11" s="38"/>
      <c r="F11" s="38"/>
      <c r="G11" s="32"/>
      <c r="H11" s="32"/>
      <c r="I11" s="32"/>
      <c r="J11" s="32"/>
      <c r="K11" s="32"/>
      <c r="L11" s="32"/>
      <c r="M11" s="32"/>
      <c r="N11" s="32"/>
    </row>
    <row r="12" spans="1:14" ht="15" thickBot="1" x14ac:dyDescent="0.35">
      <c r="A12" s="40" t="s">
        <v>136</v>
      </c>
      <c r="B12" s="38"/>
      <c r="C12" s="38"/>
      <c r="D12" s="38"/>
      <c r="E12" s="38"/>
      <c r="F12" s="38"/>
      <c r="G12" s="32"/>
      <c r="H12" s="32"/>
      <c r="I12" s="32"/>
      <c r="J12" s="32"/>
      <c r="K12" s="32"/>
      <c r="L12" s="32"/>
      <c r="M12" s="32"/>
      <c r="N12" s="32"/>
    </row>
    <row r="13" spans="1:14" ht="14.5" thickBot="1" x14ac:dyDescent="0.35">
      <c r="A13" s="73"/>
      <c r="B13" s="38"/>
      <c r="C13" s="38"/>
      <c r="D13" s="38"/>
      <c r="E13" s="38"/>
      <c r="F13" s="38"/>
      <c r="G13" s="32"/>
      <c r="H13" s="32"/>
      <c r="I13" s="32"/>
      <c r="J13" s="32"/>
      <c r="K13" s="32"/>
      <c r="L13" s="32"/>
      <c r="M13" s="32"/>
      <c r="N13" s="32"/>
    </row>
    <row r="14" spans="1:14" ht="15" thickBot="1" x14ac:dyDescent="0.35">
      <c r="A14" s="40" t="s">
        <v>137</v>
      </c>
      <c r="B14" s="38"/>
      <c r="C14" s="38"/>
      <c r="D14" s="38"/>
      <c r="E14" s="38"/>
      <c r="F14" s="38"/>
      <c r="G14" s="32"/>
      <c r="H14" s="32"/>
      <c r="I14" s="32"/>
      <c r="J14" s="32"/>
      <c r="K14" s="32"/>
      <c r="L14" s="32"/>
      <c r="M14" s="32"/>
      <c r="N14" s="32"/>
    </row>
    <row r="15" spans="1:14" x14ac:dyDescent="0.2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14" ht="13" thickBot="1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</row>
    <row r="17" spans="1:14" ht="58.5" thickBot="1" x14ac:dyDescent="0.35">
      <c r="A17" s="77" t="s">
        <v>138</v>
      </c>
      <c r="B17" s="77" t="s">
        <v>139</v>
      </c>
      <c r="C17" s="38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 ht="15" thickBot="1" x14ac:dyDescent="0.35">
      <c r="A18" s="78" t="s">
        <v>140</v>
      </c>
      <c r="B18" s="78">
        <v>30</v>
      </c>
      <c r="C18" s="38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1:14" ht="15" thickBot="1" x14ac:dyDescent="0.35">
      <c r="A19" s="78" t="s">
        <v>141</v>
      </c>
      <c r="B19" s="78">
        <v>120</v>
      </c>
      <c r="C19" s="38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4" ht="14.5" thickBot="1" x14ac:dyDescent="0.35">
      <c r="A20" s="38"/>
      <c r="B20" s="38"/>
      <c r="C20" s="38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</row>
    <row r="21" spans="1:14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4" ht="13" thickBot="1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 ht="17.5" thickBot="1" x14ac:dyDescent="0.35">
      <c r="A23" s="72" t="s">
        <v>157</v>
      </c>
      <c r="B23" s="38"/>
      <c r="C23" s="38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4.5" thickBot="1" x14ac:dyDescent="0.35">
      <c r="A24" s="73"/>
      <c r="B24" s="38"/>
      <c r="C24" s="3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4" ht="15" thickBot="1" x14ac:dyDescent="0.35">
      <c r="A25" s="38"/>
      <c r="B25" s="42" t="s">
        <v>142</v>
      </c>
      <c r="C25" s="38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ht="14.5" thickBot="1" x14ac:dyDescent="0.35">
      <c r="A26" s="38"/>
      <c r="B26" s="73"/>
      <c r="C26" s="3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thickBot="1" x14ac:dyDescent="0.35">
      <c r="A27" s="38"/>
      <c r="B27" s="42" t="s">
        <v>143</v>
      </c>
      <c r="C27" s="38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4.5" thickBot="1" x14ac:dyDescent="0.35">
      <c r="A28" s="38"/>
      <c r="B28" s="73"/>
      <c r="C28" s="38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 ht="29.5" thickBot="1" x14ac:dyDescent="0.35">
      <c r="A29" s="38"/>
      <c r="B29" s="43" t="s">
        <v>144</v>
      </c>
      <c r="C29" s="38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4.5" thickBot="1" x14ac:dyDescent="0.35">
      <c r="A30" s="38"/>
      <c r="B30" s="73"/>
      <c r="C30" s="38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 ht="44" thickBot="1" x14ac:dyDescent="0.35">
      <c r="A31" s="38"/>
      <c r="B31" s="43" t="s">
        <v>145</v>
      </c>
      <c r="C31" s="38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ht="13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 ht="17.5" thickBot="1" x14ac:dyDescent="0.35">
      <c r="A35" s="72" t="s">
        <v>158</v>
      </c>
      <c r="B35" s="38"/>
      <c r="C35" s="38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 ht="14.5" thickBot="1" x14ac:dyDescent="0.35">
      <c r="A36" s="73"/>
      <c r="B36" s="38"/>
      <c r="C36" s="38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 ht="15" thickBot="1" x14ac:dyDescent="0.35">
      <c r="A37" s="38"/>
      <c r="B37" s="42" t="s">
        <v>146</v>
      </c>
      <c r="C37" s="38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4" ht="14.5" thickBot="1" x14ac:dyDescent="0.35">
      <c r="A38" s="38"/>
      <c r="B38" s="73"/>
      <c r="C38" s="38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4" ht="15" thickBot="1" x14ac:dyDescent="0.35">
      <c r="A39" s="38"/>
      <c r="B39" s="42" t="s">
        <v>147</v>
      </c>
      <c r="C39" s="3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4" ht="14.5" thickBot="1" x14ac:dyDescent="0.35">
      <c r="A40" s="38"/>
      <c r="B40" s="73"/>
      <c r="C40" s="38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</row>
    <row r="41" spans="1:14" ht="29.5" thickBot="1" x14ac:dyDescent="0.35">
      <c r="A41" s="38"/>
      <c r="B41" s="43" t="s">
        <v>148</v>
      </c>
      <c r="C41" s="38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spans="1:14" ht="14.5" thickBot="1" x14ac:dyDescent="0.35">
      <c r="A42" s="38"/>
      <c r="B42" s="73"/>
      <c r="C42" s="38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1:14" ht="44" thickBot="1" x14ac:dyDescent="0.35">
      <c r="A43" s="38"/>
      <c r="B43" s="43" t="s">
        <v>149</v>
      </c>
      <c r="C43" s="38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</row>
    <row r="44" spans="1:14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spans="1:14" ht="13" thickBot="1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spans="1:14" ht="14.5" thickBot="1" x14ac:dyDescent="0.35">
      <c r="A46" s="32"/>
      <c r="B46" s="32"/>
      <c r="C46" s="32"/>
      <c r="D46" s="32"/>
      <c r="E46" s="38"/>
      <c r="F46" s="38"/>
      <c r="G46" s="32"/>
      <c r="H46" s="32"/>
      <c r="I46" s="32"/>
      <c r="J46" s="32"/>
      <c r="K46" s="32"/>
      <c r="L46" s="32"/>
      <c r="M46" s="32"/>
      <c r="N46" s="32"/>
    </row>
    <row r="47" spans="1:14" ht="14.5" thickBot="1" x14ac:dyDescent="0.35">
      <c r="A47" s="38"/>
      <c r="B47" s="38"/>
      <c r="C47" s="38"/>
      <c r="D47" s="38"/>
      <c r="E47" s="38"/>
      <c r="F47" s="38"/>
      <c r="G47" s="32"/>
      <c r="H47" s="32"/>
      <c r="I47" s="32"/>
      <c r="J47" s="32"/>
      <c r="K47" s="32"/>
      <c r="L47" s="32"/>
      <c r="M47" s="32"/>
      <c r="N47" s="32"/>
    </row>
    <row r="48" spans="1:14" ht="17.5" thickBot="1" x14ac:dyDescent="0.35">
      <c r="A48" s="38"/>
      <c r="B48" s="79"/>
      <c r="C48" s="38"/>
      <c r="D48" s="38"/>
      <c r="E48" s="38"/>
      <c r="F48" s="38"/>
      <c r="G48" s="32"/>
      <c r="H48" s="32"/>
      <c r="I48" s="32"/>
      <c r="J48" s="32"/>
      <c r="K48" s="32"/>
      <c r="L48" s="32"/>
      <c r="M48" s="32"/>
      <c r="N48" s="32"/>
    </row>
    <row r="49" spans="1:14" ht="13" thickBot="1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spans="1:14" ht="14.5" thickBot="1" x14ac:dyDescent="0.35">
      <c r="A50" s="73"/>
      <c r="B50" s="38"/>
      <c r="C50" s="38"/>
      <c r="D50" s="38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spans="1:14" ht="17.5" thickBot="1" x14ac:dyDescent="0.35">
      <c r="A51" s="72" t="s">
        <v>156</v>
      </c>
      <c r="B51" s="38"/>
      <c r="C51" s="38"/>
      <c r="D51" s="38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spans="1:14" ht="15" thickBot="1" x14ac:dyDescent="0.35">
      <c r="A52" s="42" t="s">
        <v>150</v>
      </c>
      <c r="B52" s="38"/>
      <c r="C52" s="38"/>
      <c r="D52" s="38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5" thickBot="1" x14ac:dyDescent="0.35">
      <c r="A53" s="42" t="s">
        <v>151</v>
      </c>
      <c r="B53" s="38"/>
      <c r="C53" s="38"/>
      <c r="D53" s="38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spans="1:14" ht="15" thickBot="1" x14ac:dyDescent="0.35">
      <c r="A54" s="42" t="s">
        <v>152</v>
      </c>
      <c r="B54" s="38"/>
      <c r="C54" s="38"/>
      <c r="D54" s="38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thickBot="1" x14ac:dyDescent="0.35">
      <c r="A55" s="42" t="s">
        <v>153</v>
      </c>
      <c r="B55" s="38"/>
      <c r="C55" s="38"/>
      <c r="D55" s="38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spans="1:14" ht="14.5" thickBot="1" x14ac:dyDescent="0.35">
      <c r="A56" s="38"/>
      <c r="B56" s="38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4" ht="13" thickBot="1" x14ac:dyDescent="0.3">
      <c r="A57" s="71" t="s">
        <v>155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thickBot="1" x14ac:dyDescent="0.35">
      <c r="A58" s="41" t="s">
        <v>154</v>
      </c>
      <c r="B58" s="38"/>
      <c r="C58" s="38"/>
      <c r="D58" s="38"/>
      <c r="E58" s="38"/>
      <c r="F58" s="38"/>
      <c r="G58" s="38"/>
      <c r="H58" s="38"/>
      <c r="I58" s="38"/>
      <c r="J58" s="32"/>
      <c r="K58" s="32"/>
      <c r="L58" s="32"/>
      <c r="M58" s="32"/>
      <c r="N58" s="32"/>
    </row>
    <row r="59" spans="1:14" x14ac:dyDescent="0.25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14C4-5FE1-410B-93F3-4B00712B667F}">
  <dimension ref="A2:T42"/>
  <sheetViews>
    <sheetView workbookViewId="0">
      <selection activeCell="I9" sqref="I9"/>
    </sheetView>
  </sheetViews>
  <sheetFormatPr defaultRowHeight="12.5" x14ac:dyDescent="0.25"/>
  <cols>
    <col min="3" max="3" width="13.54296875" customWidth="1"/>
  </cols>
  <sheetData>
    <row r="2" spans="1:20" x14ac:dyDescent="0.25">
      <c r="A2" s="69" t="s">
        <v>159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20" x14ac:dyDescent="0.25">
      <c r="A3" s="69" t="s">
        <v>160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</row>
    <row r="4" spans="1:20" x14ac:dyDescent="0.25">
      <c r="A4" s="69" t="s">
        <v>161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</row>
    <row r="5" spans="1:20" x14ac:dyDescent="0.25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</row>
    <row r="6" spans="1:20" ht="13" thickBot="1" x14ac:dyDescent="0.3">
      <c r="A6" s="66" t="s">
        <v>3</v>
      </c>
    </row>
    <row r="7" spans="1:20" ht="14.5" thickBot="1" x14ac:dyDescent="0.35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2"/>
      <c r="S7" s="32"/>
      <c r="T7" s="32"/>
    </row>
    <row r="8" spans="1:20" ht="14.5" customHeight="1" thickBot="1" x14ac:dyDescent="0.55000000000000004">
      <c r="A8" s="80"/>
      <c r="B8" s="74"/>
      <c r="C8" s="74"/>
      <c r="D8" s="38"/>
      <c r="E8" s="38"/>
      <c r="F8" s="81"/>
      <c r="G8" s="81"/>
      <c r="H8" s="38"/>
      <c r="I8" s="38"/>
      <c r="J8" s="38"/>
      <c r="K8" s="38"/>
      <c r="L8" s="38"/>
      <c r="M8" s="38"/>
      <c r="N8" s="38"/>
      <c r="O8" s="38"/>
      <c r="P8" s="38"/>
      <c r="Q8" s="38"/>
      <c r="R8" s="32"/>
      <c r="S8" s="32"/>
      <c r="T8" s="32"/>
    </row>
    <row r="9" spans="1:20" ht="17.5" customHeight="1" thickBot="1" x14ac:dyDescent="0.4">
      <c r="A9" s="36"/>
      <c r="B9" s="82" t="s">
        <v>162</v>
      </c>
      <c r="C9" s="82" t="s">
        <v>163</v>
      </c>
      <c r="D9" s="38"/>
      <c r="E9" s="83"/>
      <c r="F9" s="44"/>
      <c r="G9" s="44"/>
      <c r="H9" s="84"/>
      <c r="I9" s="38"/>
      <c r="J9" s="38"/>
      <c r="K9" s="38"/>
      <c r="L9" s="38"/>
      <c r="M9" s="38"/>
      <c r="N9" s="38"/>
      <c r="O9" s="38"/>
      <c r="P9" s="38"/>
      <c r="Q9" s="38"/>
      <c r="R9" s="32"/>
      <c r="S9" s="32"/>
      <c r="T9" s="32"/>
    </row>
    <row r="10" spans="1:20" ht="15" thickBot="1" x14ac:dyDescent="0.4">
      <c r="A10" s="36"/>
      <c r="B10" s="37" t="s">
        <v>166</v>
      </c>
      <c r="C10" s="75">
        <v>400</v>
      </c>
      <c r="D10" s="38"/>
      <c r="E10" s="83"/>
      <c r="F10" s="44"/>
      <c r="G10" s="44"/>
      <c r="H10" s="84"/>
      <c r="I10" s="38"/>
      <c r="J10" s="38"/>
      <c r="K10" s="38"/>
      <c r="L10" s="38"/>
      <c r="M10" s="38"/>
      <c r="N10" s="38"/>
      <c r="O10" s="38"/>
      <c r="P10" s="38"/>
      <c r="Q10" s="38"/>
      <c r="R10" s="32"/>
      <c r="S10" s="32"/>
      <c r="T10" s="32"/>
    </row>
    <row r="11" spans="1:20" ht="15" thickBot="1" x14ac:dyDescent="0.4">
      <c r="A11" s="36"/>
      <c r="B11" s="37" t="s">
        <v>167</v>
      </c>
      <c r="C11" s="85">
        <v>420</v>
      </c>
      <c r="D11" s="38"/>
      <c r="E11" s="38"/>
      <c r="F11" s="86"/>
      <c r="G11" s="86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2"/>
      <c r="S11" s="32"/>
      <c r="T11" s="32"/>
    </row>
    <row r="12" spans="1:20" ht="15" thickBot="1" x14ac:dyDescent="0.4">
      <c r="A12" s="36"/>
      <c r="B12" s="37" t="s">
        <v>168</v>
      </c>
      <c r="C12" s="75">
        <v>390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2"/>
      <c r="S12" s="32"/>
      <c r="T12" s="32"/>
    </row>
    <row r="13" spans="1:20" ht="16.5" customHeight="1" thickBot="1" x14ac:dyDescent="0.35">
      <c r="A13" s="36"/>
      <c r="B13" s="76" t="s">
        <v>169</v>
      </c>
      <c r="C13" s="75">
        <v>450</v>
      </c>
      <c r="D13" s="38"/>
      <c r="E13" s="87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2"/>
      <c r="S13" s="32"/>
      <c r="T13" s="32"/>
    </row>
    <row r="14" spans="1:20" ht="15" thickBot="1" x14ac:dyDescent="0.4">
      <c r="A14" s="36"/>
      <c r="B14" s="37" t="s">
        <v>170</v>
      </c>
      <c r="C14" s="75">
        <v>410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2"/>
      <c r="S14" s="32"/>
      <c r="T14" s="32"/>
    </row>
    <row r="15" spans="1:20" ht="16" customHeight="1" thickBot="1" x14ac:dyDescent="0.35">
      <c r="A15" s="38"/>
      <c r="B15" s="81"/>
      <c r="C15" s="81"/>
      <c r="D15" s="38"/>
      <c r="E15" s="38"/>
      <c r="F15" s="72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2"/>
      <c r="S15" s="32"/>
      <c r="T15" s="32"/>
    </row>
    <row r="16" spans="1:20" ht="17.5" customHeight="1" thickBot="1" x14ac:dyDescent="0.4">
      <c r="A16" s="83"/>
      <c r="B16" s="49" t="s">
        <v>164</v>
      </c>
      <c r="C16" s="49" t="s">
        <v>165</v>
      </c>
      <c r="D16" s="84"/>
      <c r="E16" s="38"/>
      <c r="F16" s="7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2"/>
      <c r="S16" s="32"/>
      <c r="T16" s="32"/>
    </row>
    <row r="17" spans="1:20" ht="15" thickBot="1" x14ac:dyDescent="0.4">
      <c r="A17" s="83"/>
      <c r="B17" s="47">
        <v>414</v>
      </c>
      <c r="C17" s="88">
        <v>23.021999999999998</v>
      </c>
      <c r="D17" s="84"/>
      <c r="E17" s="38"/>
      <c r="F17" s="38"/>
      <c r="G17" s="32"/>
      <c r="H17" s="32"/>
      <c r="I17" s="32"/>
      <c r="J17" s="32"/>
      <c r="K17" s="32"/>
      <c r="L17" s="32"/>
      <c r="M17" s="38"/>
      <c r="N17" s="38"/>
      <c r="O17" s="38"/>
      <c r="P17" s="38"/>
      <c r="Q17" s="38"/>
      <c r="R17" s="32"/>
      <c r="S17" s="32"/>
      <c r="T17" s="32"/>
    </row>
    <row r="18" spans="1:20" ht="14.5" thickBot="1" x14ac:dyDescent="0.35">
      <c r="A18" s="32"/>
      <c r="B18" s="32"/>
      <c r="C18" s="32"/>
      <c r="D18" s="32"/>
      <c r="E18" s="32"/>
      <c r="F18" s="38"/>
      <c r="G18" s="32"/>
      <c r="H18" s="32"/>
      <c r="I18" s="32"/>
      <c r="J18" s="32"/>
      <c r="K18" s="32"/>
      <c r="L18" s="32"/>
      <c r="M18" s="38"/>
      <c r="N18" s="38"/>
      <c r="O18" s="38"/>
      <c r="P18" s="38"/>
      <c r="Q18" s="38"/>
      <c r="R18" s="32"/>
      <c r="S18" s="32"/>
      <c r="T18" s="32"/>
    </row>
    <row r="19" spans="1:20" ht="15" thickBot="1" x14ac:dyDescent="0.35">
      <c r="A19" s="42" t="s">
        <v>171</v>
      </c>
      <c r="B19" s="38"/>
      <c r="C19" s="38"/>
      <c r="D19" s="38"/>
      <c r="E19" s="38"/>
      <c r="F19" s="38"/>
      <c r="G19" s="32"/>
      <c r="H19" s="32"/>
      <c r="I19" s="32"/>
      <c r="J19" s="32"/>
      <c r="K19" s="32"/>
      <c r="L19" s="32"/>
      <c r="M19" s="38"/>
      <c r="N19" s="38"/>
      <c r="O19" s="38"/>
      <c r="P19" s="38"/>
      <c r="Q19" s="38"/>
      <c r="R19" s="32"/>
      <c r="S19" s="32"/>
      <c r="T19" s="32"/>
    </row>
    <row r="20" spans="1:20" ht="15" thickBot="1" x14ac:dyDescent="0.35">
      <c r="A20" s="42" t="s">
        <v>172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2"/>
      <c r="S20" s="32"/>
      <c r="T20" s="32"/>
    </row>
    <row r="21" spans="1:20" ht="14.5" thickBot="1" x14ac:dyDescent="0.35">
      <c r="A21" s="38"/>
      <c r="B21" s="32"/>
      <c r="C21" s="32"/>
      <c r="D21" s="32"/>
      <c r="E21" s="32"/>
      <c r="F21" s="32"/>
      <c r="G21" s="32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2"/>
      <c r="S21" s="32"/>
      <c r="T21" s="32"/>
    </row>
    <row r="22" spans="1:20" ht="15" thickBot="1" x14ac:dyDescent="0.35">
      <c r="A22" s="42" t="s">
        <v>173</v>
      </c>
      <c r="B22" s="38"/>
      <c r="C22" s="38"/>
      <c r="D22" s="38"/>
      <c r="E22" s="38"/>
      <c r="F22" s="38"/>
      <c r="G22" s="32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2"/>
      <c r="S22" s="32"/>
      <c r="T22" s="32"/>
    </row>
    <row r="23" spans="1:20" ht="14.5" thickBot="1" x14ac:dyDescent="0.35">
      <c r="A23" s="73"/>
      <c r="B23" s="38"/>
      <c r="C23" s="38"/>
      <c r="D23" s="38"/>
      <c r="E23" s="38"/>
      <c r="F23" s="38"/>
      <c r="G23" s="32"/>
      <c r="H23" s="32"/>
      <c r="I23" s="32"/>
      <c r="J23" s="32"/>
      <c r="K23" s="32"/>
      <c r="L23" s="32"/>
      <c r="M23" s="38"/>
      <c r="N23" s="38"/>
      <c r="O23" s="38"/>
      <c r="P23" s="38"/>
      <c r="Q23" s="38"/>
      <c r="R23" s="32"/>
      <c r="S23" s="32"/>
      <c r="T23" s="32"/>
    </row>
    <row r="24" spans="1:20" ht="15" thickBot="1" x14ac:dyDescent="0.35">
      <c r="A24" s="42" t="s">
        <v>174</v>
      </c>
      <c r="B24" s="38"/>
      <c r="C24" s="38"/>
      <c r="D24" s="38"/>
      <c r="E24" s="38"/>
      <c r="F24" s="38"/>
      <c r="G24" s="32"/>
      <c r="H24" s="32"/>
      <c r="I24" s="32"/>
      <c r="J24" s="32"/>
      <c r="K24" s="32"/>
      <c r="L24" s="32"/>
      <c r="M24" s="38"/>
      <c r="N24" s="38"/>
      <c r="O24" s="38"/>
      <c r="P24" s="38"/>
      <c r="Q24" s="38"/>
      <c r="R24" s="32"/>
      <c r="S24" s="32"/>
      <c r="T24" s="32"/>
    </row>
    <row r="25" spans="1:20" ht="14.5" thickBot="1" x14ac:dyDescent="0.35">
      <c r="A25" s="38"/>
      <c r="B25" s="38"/>
      <c r="C25" s="38"/>
      <c r="D25" s="38"/>
      <c r="E25" s="38"/>
      <c r="F25" s="32"/>
      <c r="G25" s="32"/>
      <c r="H25" s="32"/>
      <c r="I25" s="32"/>
      <c r="J25" s="32"/>
      <c r="K25" s="32"/>
      <c r="L25" s="32"/>
      <c r="M25" s="38"/>
      <c r="N25" s="38"/>
      <c r="O25" s="38"/>
      <c r="P25" s="38"/>
      <c r="Q25" s="38"/>
      <c r="R25" s="32"/>
      <c r="S25" s="32"/>
      <c r="T25" s="32"/>
    </row>
    <row r="26" spans="1:20" ht="14.5" thickBot="1" x14ac:dyDescent="0.35">
      <c r="A26" s="41" t="s">
        <v>175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2"/>
      <c r="S26" s="32"/>
      <c r="T26" s="32"/>
    </row>
    <row r="27" spans="1:20" ht="14.5" thickBot="1" x14ac:dyDescent="0.35">
      <c r="A27" s="41" t="s">
        <v>176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2"/>
      <c r="S27" s="32"/>
      <c r="T27" s="32"/>
    </row>
    <row r="28" spans="1:20" ht="14.5" thickBot="1" x14ac:dyDescent="0.3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2"/>
      <c r="S28" s="32"/>
      <c r="T28" s="32"/>
    </row>
    <row r="29" spans="1:20" ht="15" thickBot="1" x14ac:dyDescent="0.35">
      <c r="A29" s="42" t="s">
        <v>177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2"/>
      <c r="S29" s="32"/>
      <c r="T29" s="32"/>
    </row>
    <row r="30" spans="1:20" ht="14.5" thickBot="1" x14ac:dyDescent="0.3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2"/>
      <c r="S30" s="32"/>
      <c r="T30" s="32"/>
    </row>
    <row r="31" spans="1:20" ht="17.5" thickBot="1" x14ac:dyDescent="0.35">
      <c r="A31" s="42" t="s">
        <v>178</v>
      </c>
      <c r="B31" s="38"/>
      <c r="C31" s="38"/>
      <c r="D31" s="38"/>
      <c r="E31" s="38"/>
      <c r="F31" s="72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2"/>
      <c r="S31" s="32"/>
      <c r="T31" s="32"/>
    </row>
    <row r="32" spans="1:20" ht="14.5" thickBot="1" x14ac:dyDescent="0.35">
      <c r="A32" s="38"/>
      <c r="B32" s="38"/>
      <c r="C32" s="38"/>
      <c r="D32" s="38"/>
      <c r="E32" s="38"/>
      <c r="F32" s="73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2"/>
      <c r="S32" s="32"/>
      <c r="T32" s="32"/>
    </row>
    <row r="33" spans="1:20" ht="15" thickBot="1" x14ac:dyDescent="0.35">
      <c r="A33" s="41" t="s">
        <v>179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2"/>
      <c r="N33" s="32"/>
      <c r="O33" s="32"/>
      <c r="P33" s="32"/>
      <c r="Q33" s="32"/>
      <c r="R33" s="32"/>
      <c r="S33" s="32"/>
      <c r="T33" s="32"/>
    </row>
    <row r="34" spans="1:20" ht="14.5" thickBot="1" x14ac:dyDescent="0.35">
      <c r="A34" s="38"/>
      <c r="B34" s="38"/>
      <c r="C34" s="38"/>
      <c r="D34" s="38"/>
      <c r="E34" s="38"/>
      <c r="F34" s="73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8"/>
      <c r="R34" s="32"/>
      <c r="S34" s="32"/>
      <c r="T34" s="32"/>
    </row>
    <row r="35" spans="1:20" ht="14.5" thickBot="1" x14ac:dyDescent="0.35">
      <c r="A35" s="33"/>
      <c r="B35" s="33"/>
      <c r="C35" s="33"/>
      <c r="D35" s="33"/>
      <c r="E35" s="33"/>
      <c r="F35" s="34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</row>
    <row r="36" spans="1:20" ht="14.5" thickBot="1" x14ac:dyDescent="0.35">
      <c r="A36" s="33"/>
      <c r="B36" s="33"/>
      <c r="C36" s="33"/>
      <c r="D36" s="33"/>
      <c r="E36" s="33"/>
      <c r="F36" s="33"/>
      <c r="L36" s="33"/>
      <c r="M36" s="33"/>
      <c r="N36" s="33"/>
      <c r="O36" s="33"/>
      <c r="P36" s="33"/>
      <c r="Q36" s="33"/>
    </row>
    <row r="37" spans="1:20" ht="14.5" thickBot="1" x14ac:dyDescent="0.35">
      <c r="A37" s="33"/>
      <c r="B37" s="33"/>
      <c r="C37" s="33"/>
      <c r="D37" s="33"/>
      <c r="E37" s="33"/>
      <c r="F37" s="33"/>
      <c r="G37" s="34"/>
      <c r="H37" s="33"/>
      <c r="I37" s="33"/>
      <c r="J37" s="33"/>
      <c r="K37" s="33"/>
      <c r="L37" s="33"/>
      <c r="M37" s="33"/>
      <c r="N37" s="33"/>
      <c r="O37" s="33"/>
      <c r="P37" s="33"/>
      <c r="Q37" s="33"/>
    </row>
    <row r="38" spans="1:20" ht="13" thickBot="1" x14ac:dyDescent="0.3"/>
    <row r="39" spans="1:20" ht="14.5" thickBot="1" x14ac:dyDescent="0.3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20" ht="14.5" thickBot="1" x14ac:dyDescent="0.35">
      <c r="A40" s="33"/>
      <c r="B40" s="33"/>
      <c r="C40" s="33"/>
      <c r="D40" s="33"/>
      <c r="E40" s="33"/>
    </row>
    <row r="41" spans="1:20" ht="14.5" thickBot="1" x14ac:dyDescent="0.3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20" ht="14.5" thickBot="1" x14ac:dyDescent="0.3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7F658-09E1-4062-B5E6-0B5535FB2753}">
  <dimension ref="A2:R31"/>
  <sheetViews>
    <sheetView topLeftCell="A16" workbookViewId="0">
      <selection activeCell="L10" sqref="L10"/>
    </sheetView>
  </sheetViews>
  <sheetFormatPr defaultRowHeight="12.5" x14ac:dyDescent="0.25"/>
  <sheetData>
    <row r="2" spans="1:18" x14ac:dyDescent="0.25">
      <c r="A2" s="69" t="s">
        <v>180</v>
      </c>
      <c r="B2" s="70"/>
      <c r="C2" s="70"/>
      <c r="D2" s="70"/>
      <c r="E2" s="70"/>
      <c r="F2" s="70"/>
      <c r="G2" s="70"/>
      <c r="H2" s="70"/>
      <c r="I2" s="70"/>
      <c r="J2" s="70"/>
    </row>
    <row r="3" spans="1:18" x14ac:dyDescent="0.25">
      <c r="A3" s="69" t="s">
        <v>181</v>
      </c>
      <c r="B3" s="70"/>
      <c r="C3" s="70"/>
      <c r="D3" s="70"/>
      <c r="E3" s="70"/>
      <c r="F3" s="70"/>
      <c r="G3" s="70"/>
      <c r="H3" s="70"/>
      <c r="I3" s="70"/>
      <c r="J3" s="70"/>
    </row>
    <row r="4" spans="1:18" x14ac:dyDescent="0.25">
      <c r="A4" s="69" t="s">
        <v>182</v>
      </c>
      <c r="B4" s="70"/>
      <c r="C4" s="70"/>
      <c r="D4" s="70"/>
      <c r="E4" s="70"/>
      <c r="F4" s="70"/>
      <c r="G4" s="70"/>
      <c r="H4" s="70"/>
      <c r="I4" s="70"/>
      <c r="J4" s="70"/>
    </row>
    <row r="5" spans="1:18" x14ac:dyDescent="0.25">
      <c r="A5" s="69" t="s">
        <v>183</v>
      </c>
      <c r="B5" s="70"/>
      <c r="C5" s="70"/>
      <c r="D5" s="70"/>
      <c r="E5" s="70"/>
      <c r="F5" s="70"/>
      <c r="G5" s="70"/>
      <c r="H5" s="70"/>
      <c r="I5" s="70"/>
      <c r="J5" s="70"/>
    </row>
    <row r="6" spans="1:18" x14ac:dyDescent="0.25">
      <c r="A6" s="70"/>
      <c r="B6" s="70"/>
      <c r="C6" s="70"/>
      <c r="D6" s="70"/>
      <c r="E6" s="70"/>
      <c r="F6" s="70"/>
      <c r="G6" s="70"/>
      <c r="H6" s="70"/>
      <c r="I6" s="70"/>
      <c r="J6" s="70"/>
    </row>
    <row r="7" spans="1:18" ht="13" thickBot="1" x14ac:dyDescent="0.3">
      <c r="A7" s="89" t="s">
        <v>3</v>
      </c>
    </row>
    <row r="8" spans="1:18" ht="28.5" customHeight="1" thickBot="1" x14ac:dyDescent="0.4">
      <c r="A8" s="36"/>
      <c r="B8" s="39" t="s">
        <v>184</v>
      </c>
      <c r="C8" s="39" t="s">
        <v>185</v>
      </c>
      <c r="D8" s="38"/>
      <c r="E8" s="36"/>
      <c r="F8" s="39" t="s">
        <v>186</v>
      </c>
      <c r="G8" s="39" t="s">
        <v>187</v>
      </c>
      <c r="H8" s="39" t="s">
        <v>188</v>
      </c>
      <c r="I8" s="39" t="s">
        <v>189</v>
      </c>
      <c r="J8" s="39" t="s">
        <v>165</v>
      </c>
      <c r="K8" s="38"/>
      <c r="L8" s="32"/>
      <c r="M8" s="32"/>
      <c r="N8" s="32"/>
      <c r="O8" s="32"/>
      <c r="P8" s="32"/>
      <c r="Q8" s="32"/>
      <c r="R8" s="32"/>
    </row>
    <row r="9" spans="1:18" ht="15" thickBot="1" x14ac:dyDescent="0.4">
      <c r="A9" s="36"/>
      <c r="B9" s="37" t="s">
        <v>190</v>
      </c>
      <c r="C9" s="37">
        <v>15</v>
      </c>
      <c r="D9" s="38"/>
      <c r="E9" s="36"/>
      <c r="F9" s="37">
        <v>19.600000000000001</v>
      </c>
      <c r="G9" s="37">
        <v>19.5</v>
      </c>
      <c r="H9" s="37" t="e">
        <v>#N/A</v>
      </c>
      <c r="I9" s="37">
        <v>10</v>
      </c>
      <c r="J9" s="37">
        <v>3.1</v>
      </c>
      <c r="K9" s="38"/>
      <c r="L9" s="32"/>
      <c r="M9" s="32"/>
      <c r="N9" s="32"/>
      <c r="O9" s="32"/>
      <c r="P9" s="32"/>
      <c r="Q9" s="32"/>
      <c r="R9" s="32"/>
    </row>
    <row r="10" spans="1:18" ht="15" thickBot="1" x14ac:dyDescent="0.4">
      <c r="A10" s="36"/>
      <c r="B10" s="37" t="s">
        <v>191</v>
      </c>
      <c r="C10" s="37">
        <v>18</v>
      </c>
      <c r="D10" s="38"/>
      <c r="E10" s="38"/>
      <c r="F10" s="38"/>
      <c r="G10" s="38"/>
      <c r="H10" s="38"/>
      <c r="I10" s="38"/>
      <c r="J10" s="38"/>
      <c r="K10" s="38"/>
      <c r="L10" s="32"/>
      <c r="M10" s="32"/>
      <c r="N10" s="32"/>
      <c r="O10" s="32"/>
      <c r="P10" s="32"/>
      <c r="Q10" s="32"/>
      <c r="R10" s="32"/>
    </row>
    <row r="11" spans="1:18" ht="15" thickBot="1" x14ac:dyDescent="0.4">
      <c r="A11" s="36"/>
      <c r="B11" s="37" t="s">
        <v>192</v>
      </c>
      <c r="C11" s="37">
        <v>20</v>
      </c>
      <c r="D11" s="38"/>
      <c r="E11" s="38"/>
      <c r="F11" s="38"/>
      <c r="G11" s="38"/>
      <c r="H11" s="38"/>
      <c r="I11" s="38"/>
      <c r="J11" s="38"/>
      <c r="K11" s="38"/>
      <c r="L11" s="32"/>
      <c r="M11" s="32"/>
      <c r="N11" s="32"/>
      <c r="O11" s="32"/>
      <c r="P11" s="32"/>
      <c r="Q11" s="32"/>
      <c r="R11" s="32"/>
    </row>
    <row r="12" spans="1:18" ht="17.5" customHeight="1" thickBot="1" x14ac:dyDescent="0.4">
      <c r="A12" s="36"/>
      <c r="B12" s="37" t="s">
        <v>193</v>
      </c>
      <c r="C12" s="37">
        <v>22</v>
      </c>
      <c r="D12" s="38"/>
      <c r="E12" s="38"/>
      <c r="F12" s="90"/>
      <c r="G12" s="38"/>
      <c r="H12" s="38"/>
      <c r="I12" s="38"/>
      <c r="J12" s="38"/>
      <c r="K12" s="38"/>
      <c r="L12" s="32"/>
      <c r="M12" s="32"/>
      <c r="N12" s="32"/>
      <c r="O12" s="32"/>
      <c r="P12" s="32"/>
      <c r="Q12" s="32"/>
      <c r="R12" s="32"/>
    </row>
    <row r="13" spans="1:18" ht="15" thickBot="1" x14ac:dyDescent="0.4">
      <c r="A13" s="36"/>
      <c r="B13" s="37" t="s">
        <v>194</v>
      </c>
      <c r="C13" s="37">
        <v>25</v>
      </c>
      <c r="D13" s="38"/>
      <c r="E13" s="38"/>
      <c r="F13" s="38"/>
      <c r="G13" s="38"/>
      <c r="H13" s="38"/>
      <c r="I13" s="38"/>
      <c r="J13" s="38"/>
      <c r="K13" s="38"/>
      <c r="L13" s="32"/>
      <c r="M13" s="32"/>
      <c r="N13" s="32"/>
      <c r="O13" s="32"/>
      <c r="P13" s="32"/>
      <c r="Q13" s="32"/>
      <c r="R13" s="32"/>
    </row>
    <row r="14" spans="1:18" ht="16.5" customHeight="1" thickBot="1" x14ac:dyDescent="0.4">
      <c r="A14" s="36"/>
      <c r="B14" s="37" t="s">
        <v>195</v>
      </c>
      <c r="C14" s="37">
        <v>17</v>
      </c>
      <c r="D14" s="38"/>
      <c r="E14" s="38"/>
      <c r="F14" s="38"/>
      <c r="G14" s="90"/>
      <c r="H14" s="38"/>
      <c r="I14" s="38"/>
      <c r="J14" s="38"/>
      <c r="K14" s="38"/>
      <c r="L14" s="32"/>
      <c r="M14" s="32"/>
      <c r="N14" s="32"/>
      <c r="O14" s="32"/>
      <c r="P14" s="32"/>
      <c r="Q14" s="32"/>
      <c r="R14" s="32"/>
    </row>
    <row r="15" spans="1:18" ht="15" thickBot="1" x14ac:dyDescent="0.4">
      <c r="A15" s="36"/>
      <c r="B15" s="37" t="s">
        <v>196</v>
      </c>
      <c r="C15" s="37">
        <v>19</v>
      </c>
      <c r="D15" s="38"/>
      <c r="E15" s="38"/>
      <c r="F15" s="38"/>
      <c r="G15" s="38"/>
      <c r="H15" s="38"/>
      <c r="I15" s="38"/>
      <c r="J15" s="38"/>
      <c r="K15" s="38"/>
      <c r="L15" s="32"/>
      <c r="M15" s="32"/>
      <c r="N15" s="32"/>
      <c r="O15" s="32"/>
      <c r="P15" s="32"/>
      <c r="Q15" s="32"/>
      <c r="R15" s="32"/>
    </row>
    <row r="16" spans="1:18" ht="15" thickBot="1" x14ac:dyDescent="0.4">
      <c r="A16" s="36"/>
      <c r="B16" s="37" t="s">
        <v>197</v>
      </c>
      <c r="C16" s="37">
        <v>21</v>
      </c>
      <c r="D16" s="38"/>
      <c r="E16" s="38"/>
      <c r="F16" s="38"/>
      <c r="G16" s="38"/>
      <c r="H16" s="40"/>
      <c r="I16" s="38"/>
      <c r="J16" s="38"/>
      <c r="K16" s="38"/>
      <c r="L16" s="32"/>
      <c r="M16" s="32"/>
      <c r="N16" s="32"/>
      <c r="O16" s="32"/>
      <c r="P16" s="32"/>
      <c r="Q16" s="32"/>
      <c r="R16" s="32"/>
    </row>
    <row r="17" spans="1:18" ht="14.5" thickBot="1" x14ac:dyDescent="0.35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2"/>
      <c r="M17" s="32"/>
      <c r="N17" s="32"/>
      <c r="O17" s="32"/>
      <c r="P17" s="32"/>
      <c r="Q17" s="32"/>
      <c r="R17" s="32"/>
    </row>
    <row r="18" spans="1:18" ht="15" thickBot="1" x14ac:dyDescent="0.35">
      <c r="A18" s="40" t="s">
        <v>198</v>
      </c>
      <c r="B18" s="38"/>
      <c r="C18" s="38"/>
      <c r="D18" s="38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15" thickBot="1" x14ac:dyDescent="0.35">
      <c r="A19" s="40" t="s">
        <v>199</v>
      </c>
      <c r="B19" s="38"/>
      <c r="C19" s="38"/>
      <c r="D19" s="38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5" thickBot="1" x14ac:dyDescent="0.35">
      <c r="A20" s="40" t="s">
        <v>200</v>
      </c>
      <c r="B20" s="38"/>
      <c r="C20" s="38"/>
      <c r="D20" s="38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ht="15" thickBot="1" x14ac:dyDescent="0.35">
      <c r="A21" s="40" t="s">
        <v>201</v>
      </c>
      <c r="B21" s="38"/>
      <c r="C21" s="38"/>
      <c r="D21" s="38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ht="13" thickBot="1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ht="14.5" thickBot="1" x14ac:dyDescent="0.35">
      <c r="A23" s="41" t="s">
        <v>202</v>
      </c>
      <c r="B23" s="38"/>
      <c r="C23" s="38"/>
      <c r="D23" s="38"/>
      <c r="E23" s="38"/>
      <c r="F23" s="38"/>
      <c r="G23" s="38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 ht="14.5" thickBot="1" x14ac:dyDescent="0.35">
      <c r="A24" s="41" t="s">
        <v>203</v>
      </c>
      <c r="B24" s="38"/>
      <c r="C24" s="38"/>
      <c r="D24" s="38"/>
      <c r="E24" s="38"/>
      <c r="F24" s="38"/>
      <c r="G24" s="38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ht="14.5" thickBot="1" x14ac:dyDescent="0.35">
      <c r="A25" s="41" t="s">
        <v>204</v>
      </c>
      <c r="B25" s="38"/>
      <c r="C25" s="38"/>
      <c r="D25" s="38"/>
      <c r="E25" s="38"/>
      <c r="F25" s="38"/>
      <c r="G25" s="38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ht="14.5" thickBot="1" x14ac:dyDescent="0.35">
      <c r="A26" s="41" t="s">
        <v>205</v>
      </c>
      <c r="B26" s="38"/>
      <c r="C26" s="38"/>
      <c r="D26" s="38"/>
      <c r="E26" s="38"/>
      <c r="F26" s="38"/>
      <c r="G26" s="38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ht="14.5" thickBot="1" x14ac:dyDescent="0.35">
      <c r="A27" s="41" t="s">
        <v>206</v>
      </c>
      <c r="B27" s="38"/>
      <c r="C27" s="38"/>
      <c r="D27" s="38"/>
      <c r="E27" s="38"/>
      <c r="F27" s="38"/>
      <c r="G27" s="38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1:18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ht="14.5" thickBot="1" x14ac:dyDescent="0.3">
      <c r="A29" s="91" t="s">
        <v>208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ht="15" thickBot="1" x14ac:dyDescent="0.35">
      <c r="A30" s="42" t="s">
        <v>207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2"/>
      <c r="M30" s="32"/>
      <c r="N30" s="32"/>
      <c r="O30" s="32"/>
      <c r="P30" s="32"/>
      <c r="Q30" s="32"/>
      <c r="R30" s="32"/>
    </row>
    <row r="31" spans="1:18" x14ac:dyDescent="0.25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 a</dc:creator>
  <cp:lastModifiedBy>Janith a</cp:lastModifiedBy>
  <dcterms:created xsi:type="dcterms:W3CDTF">2025-12-30T15:48:16Z</dcterms:created>
  <dcterms:modified xsi:type="dcterms:W3CDTF">2025-12-30T15:48:16Z</dcterms:modified>
</cp:coreProperties>
</file>