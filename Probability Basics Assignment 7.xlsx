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ANALYTICS\EXCEL\ASSIGNMENTS\"/>
    </mc:Choice>
  </mc:AlternateContent>
  <xr:revisionPtr revIDLastSave="0" documentId="13_ncr:1_{4F740E12-7FE6-44DF-9DB8-36E22699ED8F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QUESTION 1" sheetId="3" r:id="rId1"/>
    <sheet name="QUESTION 2" sheetId="4" r:id="rId2"/>
    <sheet name="QUESTION 3" sheetId="5" r:id="rId3"/>
    <sheet name="QUESTION 4" sheetId="6" r:id="rId4"/>
    <sheet name="QUESTION 5" sheetId="7" r:id="rId5"/>
    <sheet name="QUESTION 6" sheetId="8" r:id="rId6"/>
    <sheet name="QUESTION 7" sheetId="9" r:id="rId7"/>
    <sheet name="QUESTION 8" sheetId="10" r:id="rId8"/>
    <sheet name="QUESTION 9" sheetId="11" r:id="rId9"/>
    <sheet name="QUESTION 10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0" l="1"/>
  <c r="D18" i="11"/>
  <c r="D8" i="11"/>
  <c r="D15" i="10"/>
  <c r="D26" i="10"/>
  <c r="E22" i="9"/>
  <c r="E31" i="9" s="1"/>
  <c r="E15" i="8"/>
  <c r="E16" i="7"/>
  <c r="I15" i="5"/>
  <c r="I14" i="5"/>
  <c r="H20" i="5" s="1"/>
  <c r="D7" i="5"/>
  <c r="D11" i="4"/>
</calcChain>
</file>

<file path=xl/sharedStrings.xml><?xml version="1.0" encoding="utf-8"?>
<sst xmlns="http://schemas.openxmlformats.org/spreadsheetml/2006/main" count="215" uniqueCount="175">
  <si>
    <t>1.A die is rolled. What is the probability of getting:</t>
  </si>
  <si>
    <t>(a) An even number</t>
  </si>
  <si>
    <t>(b) A number greater than 4.</t>
  </si>
  <si>
    <t>Ans.</t>
  </si>
  <si>
    <t>{1,2,3,4,5,6}</t>
  </si>
  <si>
    <r>
      <t xml:space="preserve">Total number of outcomes = </t>
    </r>
    <r>
      <rPr>
        <b/>
        <sz val="11"/>
        <color theme="1"/>
        <rFont val="Calibri"/>
        <family val="2"/>
        <scheme val="minor"/>
      </rPr>
      <t>6</t>
    </r>
  </si>
  <si>
    <t>When a die is rolled, the possible outcomes are:</t>
  </si>
  <si>
    <t>Ans in that even numbers are [2,4,6]</t>
  </si>
  <si>
    <t>were the count of favourable outcomes are 3.</t>
  </si>
  <si>
    <t>By applying formula of probability we get</t>
  </si>
  <si>
    <t>which comes 3/6=1/2</t>
  </si>
  <si>
    <t>Possible outcomes for even number are=1/2.</t>
  </si>
  <si>
    <t>P(Even Number)=Favourable outcomes/Total number of outcomes</t>
  </si>
  <si>
    <t>(b)A number greater than 4.</t>
  </si>
  <si>
    <t>Numbers more than 4 = (5, 6)</t>
  </si>
  <si>
    <t>Favourable outcomes = 2 (5, 6)</t>
  </si>
  <si>
    <t>Total possible outcomes = 6</t>
  </si>
  <si>
    <t>P(Number &gt; 4)=favourable outcomes/Total outcomes</t>
  </si>
  <si>
    <t>2/6=1/3</t>
  </si>
  <si>
    <t>Final answer is 1/3</t>
  </si>
  <si>
    <t>Probability of Even Number=1/2</t>
  </si>
  <si>
    <t>Probability of number &gt; 4 = 1/3</t>
  </si>
  <si>
    <t>2.In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</si>
  <si>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</si>
  <si>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</si>
  <si>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</si>
  <si>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</si>
  <si>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Condition</t>
  </si>
  <si>
    <t>Value</t>
  </si>
  <si>
    <t>Total Students</t>
  </si>
  <si>
    <t>Like Mathematics</t>
  </si>
  <si>
    <t>Like Science</t>
  </si>
  <si>
    <t>Like Both</t>
  </si>
  <si>
    <t>Maths Or Science=Mathematics+Science-Both</t>
  </si>
  <si>
    <t>Using probability Formula:</t>
  </si>
  <si>
    <t>Favourable students/Total students=30/50</t>
  </si>
  <si>
    <t>"=3/5"</t>
  </si>
  <si>
    <t>3.A bag has 3 red and 2 blue balls. If one ball is drawn randomly and is red, what is the probability</t>
  </si>
  <si>
    <t>that the next ball is also red (without replacement)?</t>
  </si>
  <si>
    <t>Description</t>
  </si>
  <si>
    <t>Red balls</t>
  </si>
  <si>
    <t>Blue balls</t>
  </si>
  <si>
    <t>Total balls</t>
  </si>
  <si>
    <t>• First ball is red (given condition)</t>
  </si>
  <si>
    <r>
      <t xml:space="preserve">Since </t>
    </r>
    <r>
      <rPr>
        <b/>
        <sz val="11"/>
        <color theme="1"/>
        <rFont val="Calibri"/>
        <family val="2"/>
        <scheme val="minor"/>
      </rPr>
      <t>one red ball is already drawn</t>
    </r>
    <r>
      <rPr>
        <sz val="11"/>
        <color theme="1"/>
        <rFont val="Calibri"/>
        <family val="2"/>
        <scheme val="minor"/>
      </rPr>
      <t>, update the counts:</t>
    </r>
  </si>
  <si>
    <t>Remaining red balls</t>
  </si>
  <si>
    <t>Remaining total balls</t>
  </si>
  <si>
    <t>• Probability next ball is red</t>
  </si>
  <si>
    <r>
      <t xml:space="preserve">Result → </t>
    </r>
    <r>
      <rPr>
        <b/>
        <sz val="11"/>
        <color theme="1"/>
        <rFont val="Calibri"/>
        <family val="2"/>
        <scheme val="minor"/>
      </rPr>
      <t>0.5</t>
    </r>
  </si>
  <si>
    <t>• Final Answer:</t>
  </si>
  <si>
    <t>Probability that the next ball is also red = 0.5 (or 1/2)</t>
  </si>
  <si>
    <t>4.The population of a school is divided into 60% boys and 40% girls. If you want equal representation</t>
  </si>
  <si>
    <t>of both genders in the sample, which method should you use: Simple Random Sampling or Stratified Sampling?</t>
  </si>
  <si>
    <t>Why?</t>
  </si>
  <si>
    <t>• Explanation:</t>
  </si>
  <si>
    <r>
      <t xml:space="preserve">The population has </t>
    </r>
    <r>
      <rPr>
        <b/>
        <u/>
        <sz val="11"/>
        <color theme="1"/>
        <rFont val="Calibri"/>
        <family val="2"/>
        <scheme val="minor"/>
      </rPr>
      <t>unequal proportions</t>
    </r>
    <r>
      <rPr>
        <u/>
        <sz val="11"/>
        <color theme="1"/>
        <rFont val="Calibri"/>
        <family val="2"/>
        <scheme val="minor"/>
      </rPr>
      <t>:</t>
    </r>
  </si>
  <si>
    <t>• 60% boys</t>
  </si>
  <si>
    <t>• 40% girls</t>
  </si>
  <si>
    <r>
      <t xml:space="preserve">If you use </t>
    </r>
    <r>
      <rPr>
        <b/>
        <sz val="11"/>
        <color theme="1"/>
        <rFont val="Calibri"/>
        <family val="2"/>
        <scheme val="minor"/>
      </rPr>
      <t>Simple Random Sampling</t>
    </r>
    <r>
      <rPr>
        <sz val="11"/>
        <color theme="1"/>
        <rFont val="Calibri"/>
        <family val="2"/>
        <scheme val="minor"/>
      </rPr>
      <t xml:space="preserve">, the sample is likely to include </t>
    </r>
    <r>
      <rPr>
        <b/>
        <sz val="11"/>
        <color theme="1"/>
        <rFont val="Calibri"/>
        <family val="2"/>
        <scheme val="minor"/>
      </rPr>
      <t>more boys than girls</t>
    </r>
    <r>
      <rPr>
        <sz val="11"/>
        <color theme="1"/>
        <rFont val="Calibri"/>
        <family val="2"/>
        <scheme val="minor"/>
      </rPr>
      <t>, because boys are the majority.</t>
    </r>
  </si>
  <si>
    <r>
      <t>Stratified Sampling</t>
    </r>
    <r>
      <rPr>
        <u/>
        <sz val="11"/>
        <color theme="1"/>
        <rFont val="Calibri"/>
        <family val="2"/>
        <scheme val="minor"/>
      </rPr>
      <t xml:space="preserve"> is the better choice because:</t>
    </r>
  </si>
  <si>
    <r>
      <t xml:space="preserve">• The population is first divided into </t>
    </r>
    <r>
      <rPr>
        <b/>
        <sz val="11"/>
        <color theme="1"/>
        <rFont val="Calibri"/>
        <family val="2"/>
        <scheme val="minor"/>
      </rPr>
      <t>strata</t>
    </r>
    <r>
      <rPr>
        <sz val="11"/>
        <color theme="1"/>
        <rFont val="Calibri"/>
        <family val="2"/>
        <scheme val="minor"/>
      </rPr>
      <t xml:space="preserve"> (boys and girls).</t>
    </r>
  </si>
  <si>
    <r>
      <t xml:space="preserve">• An </t>
    </r>
    <r>
      <rPr>
        <b/>
        <sz val="11"/>
        <color theme="1"/>
        <rFont val="Calibri"/>
        <family val="2"/>
        <scheme val="minor"/>
      </rPr>
      <t>equal number of students</t>
    </r>
    <r>
      <rPr>
        <sz val="11"/>
        <color theme="1"/>
        <rFont val="Calibri"/>
        <family val="2"/>
        <scheme val="minor"/>
      </rPr>
      <t xml:space="preserve"> is selected from each group.</t>
    </r>
  </si>
  <si>
    <r>
      <t xml:space="preserve">This guarantees </t>
    </r>
    <r>
      <rPr>
        <b/>
        <sz val="11"/>
        <color theme="1"/>
        <rFont val="Calibri"/>
        <family val="2"/>
        <scheme val="minor"/>
      </rPr>
      <t>equal representation of both genders</t>
    </r>
    <r>
      <rPr>
        <sz val="11"/>
        <color theme="1"/>
        <rFont val="Calibri"/>
        <family val="2"/>
        <scheme val="minor"/>
      </rPr>
      <t xml:space="preserve"> in the sample.</t>
    </r>
  </si>
  <si>
    <t>Stratified Sampling should be used because it ensures equal representation of boys and girls, whereas Simple Random Sampling may result in unequal representation due to the population imbalance.</t>
  </si>
  <si>
    <t xml:space="preserve">5.The average height of 1000 students = 160 cm. A sample of 100 students shows an average height </t>
  </si>
  <si>
    <t>= 158 cm.</t>
  </si>
  <si>
    <t>Find the sampling error.</t>
  </si>
  <si>
    <t>• Enter the data in Excel</t>
  </si>
  <si>
    <t>Population Mean (cm)</t>
  </si>
  <si>
    <t>Sample Mean (cm)</t>
  </si>
  <si>
    <t>• Sampling Error formula</t>
  </si>
  <si>
    <t>Sampling Error = Sample Mean − Population Mean</t>
  </si>
  <si>
    <t>Sampling Error =</t>
  </si>
  <si>
    <t>Sampling Error = −2 cm</t>
  </si>
  <si>
    <r>
      <t xml:space="preserve"> This means the sample average is </t>
    </r>
    <r>
      <rPr>
        <b/>
        <sz val="11"/>
        <color theme="1"/>
        <rFont val="Calibri"/>
        <family val="2"/>
        <scheme val="minor"/>
      </rPr>
      <t>2 cm less</t>
    </r>
    <r>
      <rPr>
        <sz val="11"/>
        <color theme="1"/>
        <rFont val="Calibri"/>
        <family val="2"/>
        <scheme val="minor"/>
      </rPr>
      <t xml:space="preserve"> than the population average.</t>
    </r>
  </si>
  <si>
    <t xml:space="preserve">6.The population mean salary is ₹50,000 with σ = ₹5,000. If we take a sample of 100 employees, what </t>
  </si>
  <si>
    <t>is the standard error of the mean (SEM)?</t>
  </si>
  <si>
    <t>• Enter the given data</t>
  </si>
  <si>
    <t>Population Std. Deviation (σ)</t>
  </si>
  <si>
    <t>Sample Size (n)</t>
  </si>
  <si>
    <t>• Apply the SEM formula</t>
  </si>
  <si>
    <t>Formula:</t>
  </si>
  <si>
    <t>=</t>
  </si>
  <si>
    <t>Standard Error of the Mean (SEM) = ₹500</t>
  </si>
  <si>
    <r>
      <t xml:space="preserve">This means the sample mean salary typically varies by about </t>
    </r>
    <r>
      <rPr>
        <b/>
        <sz val="11"/>
        <color theme="1"/>
        <rFont val="Calibri"/>
        <family val="2"/>
        <scheme val="minor"/>
      </rPr>
      <t>₹500</t>
    </r>
    <r>
      <rPr>
        <sz val="11"/>
        <color theme="1"/>
        <rFont val="Calibri"/>
        <family val="2"/>
        <scheme val="minor"/>
      </rPr>
      <t xml:space="preserve"> from the population mean.</t>
    </r>
  </si>
  <si>
    <t>7. 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</si>
  <si>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</si>
  <si>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</si>
  <si>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</si>
  <si>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</si>
  <si>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Step 1: Enter the data in Excel</t>
  </si>
  <si>
    <t>Like Cricket (C)</t>
  </si>
  <si>
    <t>Like Football (F)</t>
  </si>
  <si>
    <t>Like Both (C ∩ F)</t>
  </si>
  <si>
    <t>Step 2: Calculate students who like at least one sport</t>
  </si>
  <si>
    <t>Use the formula:</t>
  </si>
  <si>
    <t>C+F−(C∩F)</t>
  </si>
  <si>
    <r>
      <t xml:space="preserve">Result → </t>
    </r>
    <r>
      <rPr>
        <b/>
        <sz val="11"/>
        <color theme="1"/>
        <rFont val="Calibri"/>
        <family val="2"/>
        <scheme val="minor"/>
      </rPr>
      <t>60</t>
    </r>
  </si>
  <si>
    <t>Step 3: Calculate Probability</t>
  </si>
  <si>
    <t>Probability = (Students liking at least one sport) ÷ Total Students</t>
  </si>
  <si>
    <t>Probability that a student likes at least one sport = 0.6 (or 60%)</t>
  </si>
  <si>
    <t xml:space="preserve">8.From a deck of 52 cards, two cards are drawn without replacement. What is the probability that </t>
  </si>
  <si>
    <t>both are Aces?</t>
  </si>
  <si>
    <t>Total cards</t>
  </si>
  <si>
    <t>Total Aces</t>
  </si>
  <si>
    <t>Step 2: First card is an Ace</t>
  </si>
  <si>
    <t>Probability of first Ace =Total Aces/Total cards</t>
  </si>
  <si>
    <r>
      <t xml:space="preserve">Result → </t>
    </r>
    <r>
      <rPr>
        <b/>
        <sz val="11"/>
        <color theme="1"/>
        <rFont val="Calibri"/>
        <family val="2"/>
        <scheme val="minor"/>
      </rPr>
      <t>4/52</t>
    </r>
  </si>
  <si>
    <t>Step 3: Second card is an Ace (without replacement)</t>
  </si>
  <si>
    <r>
      <t xml:space="preserve">Remaining Aces = </t>
    </r>
    <r>
      <rPr>
        <sz val="10"/>
        <color theme="1"/>
        <rFont val="Arial Unicode MS"/>
      </rPr>
      <t>4 − 1 = 3</t>
    </r>
  </si>
  <si>
    <r>
      <t xml:space="preserve">Remaining cards = </t>
    </r>
    <r>
      <rPr>
        <sz val="10"/>
        <color theme="1"/>
        <rFont val="Arial Unicode MS"/>
      </rPr>
      <t>52 − 1 = 51</t>
    </r>
  </si>
  <si>
    <t>Result → Remaining Aces/Remaining cards</t>
  </si>
  <si>
    <t>Step 4: Probability that BOTH cards are Aces</t>
  </si>
  <si>
    <t>Multiply the two probabilities.</t>
  </si>
  <si>
    <t>✅ Final Answer:</t>
  </si>
  <si>
    <t>Probability = 0.00452</t>
  </si>
  <si>
    <r>
      <t xml:space="preserve">This means there is about a </t>
    </r>
    <r>
      <rPr>
        <b/>
        <sz val="11"/>
        <color theme="1"/>
        <rFont val="Calibri"/>
        <family val="2"/>
        <scheme val="minor"/>
      </rPr>
      <t>0.45% chance</t>
    </r>
    <r>
      <rPr>
        <sz val="11"/>
        <color theme="1"/>
        <rFont val="Calibri"/>
        <family val="2"/>
        <scheme val="minor"/>
      </rPr>
      <t xml:space="preserve"> that both drawn cards are Aces.</t>
    </r>
  </si>
  <si>
    <t xml:space="preserve">9.A factory produces bulbs with 2% defective rate. If 5 bulbs are chosen at random, what is the </t>
  </si>
  <si>
    <t>probability that all are non-defective?</t>
  </si>
  <si>
    <t>Step 1: Enter the given data</t>
  </si>
  <si>
    <t>Defective Rate</t>
  </si>
  <si>
    <t>Non-defective Rate</t>
  </si>
  <si>
    <r>
      <t>=1-A1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98%</t>
    </r>
  </si>
  <si>
    <t>Number of bulbs</t>
  </si>
  <si>
    <t>Step 2: Probability that all 5 bulbs are non-defective</t>
  </si>
  <si>
    <t>(Probability of non-defective)</t>
  </si>
  <si>
    <t>Probability =</t>
  </si>
  <si>
    <t xml:space="preserve"> 0.9039 (approximately)</t>
  </si>
  <si>
    <t>or</t>
  </si>
  <si>
    <r>
      <t xml:space="preserve"> There is about a </t>
    </r>
    <r>
      <rPr>
        <b/>
        <sz val="11"/>
        <color theme="1"/>
        <rFont val="Calibri"/>
        <family val="2"/>
        <scheme val="minor"/>
      </rPr>
      <t>90% chance</t>
    </r>
    <r>
      <rPr>
        <sz val="11"/>
        <color theme="1"/>
        <rFont val="Calibri"/>
        <family val="2"/>
        <scheme val="minor"/>
      </rPr>
      <t xml:space="preserve"> that all 5 selected bulbs are non-defective.</t>
    </r>
  </si>
  <si>
    <t>10. Differentiate between discrete and continuous random variables with examples</t>
  </si>
  <si>
    <t>• Discrete Random Variables</t>
  </si>
  <si>
    <t>Definition</t>
  </si>
  <si>
    <t>A discrete random variable is one that can take a finite or countable number of distinct values. These are often counts of objects or events.</t>
  </si>
  <si>
    <t>Characteristics</t>
  </si>
  <si>
    <t>• Values are countable (like 0, 1, 2, …).</t>
  </si>
  <si>
    <t>• There are gaps between possible values.</t>
  </si>
  <si>
    <t>• Probability of each value can be calculated using a Probability Mass Function (PMF).</t>
  </si>
  <si>
    <t>Examples</t>
  </si>
  <si>
    <t>1. Rolling a die – outcomes: 1, 2, 3, 4, 5, 6.</t>
  </si>
  <si>
    <t>2. Number of students passing an exam – outcomes: 0, 1, 2, …, total students.</t>
  </si>
  <si>
    <t>3. Number of heads in 3 coin tosses – outcomes: 0, 1, 2, 3.</t>
  </si>
  <si>
    <t>3. Continuous Random Variables</t>
  </si>
  <si>
    <t>A continuous random variable is one that can take any value within a given interval. These are usually measured, not counted.</t>
  </si>
  <si>
    <t>• Values are uncountable (infinite possibilities).</t>
  </si>
  <si>
    <t>• Probabilities are defined over ranges using a Probability Density Function (PDF).</t>
  </si>
  <si>
    <t>• Probability of a single exact value is 0; only intervals have nonzero probability.</t>
  </si>
  <si>
    <t>1. Height of students – can take any value like 165.2 cm, 165.25 cm, etc.</t>
  </si>
  <si>
    <t>2. Time to run a race – can be 10.23 s, 10.231 s, etc.</t>
  </si>
  <si>
    <t>3. Temperature in a city – can be 36.5°C, 36.51°C, etc.</t>
  </si>
  <si>
    <t>4. Comparison Table</t>
  </si>
  <si>
    <t>Feature</t>
  </si>
  <si>
    <t>Discrete Random Variable</t>
  </si>
  <si>
    <t>Continuous Random Variable</t>
  </si>
  <si>
    <t>Values</t>
  </si>
  <si>
    <t>Countable, distinct</t>
  </si>
  <si>
    <t>Uncountable, any value in an interval</t>
  </si>
  <si>
    <t>Probability</t>
  </si>
  <si>
    <t>Probability of exact values (PMF)</t>
  </si>
  <si>
    <t>Probability of ranges (PDF)</t>
  </si>
  <si>
    <t>Graph</t>
  </si>
  <si>
    <t>Bar graph</t>
  </si>
  <si>
    <t>Smooth curve</t>
  </si>
  <si>
    <t>Number of cars, dice roll, coin toss outcomes</t>
  </si>
  <si>
    <t>Height, weight, time, temperature</t>
  </si>
  <si>
    <t>Gaps between values</t>
  </si>
  <si>
    <t>Yes</t>
  </si>
  <si>
    <t>No</t>
  </si>
  <si>
    <t>Probability of exact value</t>
  </si>
  <si>
    <t>Nonzero</t>
  </si>
  <si>
    <t>Zero</t>
  </si>
  <si>
    <t>Summary:</t>
  </si>
  <si>
    <t>• Discrete RVs are countable and often integers.</t>
  </si>
  <si>
    <t>• Continuous RVs are measurable and can take any value in a range.</t>
  </si>
  <si>
    <t>• In real life, counts → discrete, measurements → continuous.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</si>
</sst>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1"/>
      <color theme="1"/>
      <name val="Arial Unicode MS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3" borderId="0" xfId="0" applyFill="1"/>
    <xf numFmtId="0" fontId="0" fillId="2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0" xfId="0" applyFont="1" applyFill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16" fontId="0" fillId="3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0" fillId="3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7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8" xfId="0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8" fillId="3" borderId="0" xfId="0" applyFont="1" applyFill="1" applyAlignment="1">
      <alignment horizontal="center" vertical="center"/>
    </xf>
    <xf numFmtId="0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9" fontId="0" fillId="3" borderId="19" xfId="0" applyNumberFormat="1" applyFill="1" applyBorder="1" applyAlignment="1">
      <alignment horizontal="center" vertical="center"/>
    </xf>
    <xf numFmtId="9" fontId="9" fillId="3" borderId="19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170" fontId="10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0" fontId="12" fillId="3" borderId="0" xfId="0" applyFont="1" applyFill="1"/>
    <xf numFmtId="0" fontId="13" fillId="3" borderId="0" xfId="0" applyFont="1" applyFill="1"/>
    <xf numFmtId="0" fontId="1" fillId="3" borderId="19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10</xdr:row>
      <xdr:rowOff>59270</xdr:rowOff>
    </xdr:from>
    <xdr:to>
      <xdr:col>5</xdr:col>
      <xdr:colOff>352425</xdr:colOff>
      <xdr:row>13</xdr:row>
      <xdr:rowOff>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02BB0-167B-4AEA-9700-5C2D8278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6025" y="8352370"/>
          <a:ext cx="933450" cy="502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323850</xdr:colOff>
      <xdr:row>14</xdr:row>
      <xdr:rowOff>138112</xdr:rowOff>
    </xdr:from>
    <xdr:ext cx="10996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4628F4B-0F88-47DB-ADFD-40E759908B02}"/>
                </a:ext>
              </a:extLst>
            </xdr:cNvPr>
            <xdr:cNvSpPr txBox="1"/>
          </xdr:nvSpPr>
          <xdr:spPr>
            <a:xfrm>
              <a:off x="4927600" y="3662362"/>
              <a:ext cx="109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>
                        <a:latin typeface="Cambria Math" panose="02040503050406030204" pitchFamily="18" charset="0"/>
                      </a:rPr>
                      <m:t>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4628F4B-0F88-47DB-ADFD-40E759908B02}"/>
                </a:ext>
              </a:extLst>
            </xdr:cNvPr>
            <xdr:cNvSpPr txBox="1"/>
          </xdr:nvSpPr>
          <xdr:spPr>
            <a:xfrm>
              <a:off x="4927600" y="3662362"/>
              <a:ext cx="109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5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972B-390C-4C82-ADEA-E12735806E3C}">
  <dimension ref="A1:M23"/>
  <sheetViews>
    <sheetView workbookViewId="0">
      <selection activeCell="O5" sqref="O5"/>
    </sheetView>
  </sheetViews>
  <sheetFormatPr defaultRowHeight="14.5" x14ac:dyDescent="0.35"/>
  <sheetData>
    <row r="1" spans="1:13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13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13" x14ac:dyDescent="0.35">
      <c r="A3" s="2" t="s">
        <v>2</v>
      </c>
      <c r="B3" s="2"/>
      <c r="C3" s="2"/>
      <c r="D3" s="2"/>
      <c r="E3" s="2"/>
      <c r="F3" s="2"/>
      <c r="G3" s="2"/>
      <c r="H3" s="2"/>
    </row>
    <row r="4" spans="1:13" x14ac:dyDescent="0.35">
      <c r="A4" t="s">
        <v>3</v>
      </c>
    </row>
    <row r="5" spans="1:13" x14ac:dyDescent="0.3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 t="s">
        <v>5</v>
      </c>
      <c r="B8" s="1"/>
      <c r="C8" s="1"/>
      <c r="D8" s="1"/>
      <c r="E8" s="1"/>
      <c r="F8" s="1"/>
      <c r="G8" s="1"/>
      <c r="H8" s="7"/>
      <c r="I8" s="8"/>
      <c r="J8" s="8"/>
      <c r="K8" s="8"/>
      <c r="L8" s="9"/>
      <c r="M8" s="1"/>
    </row>
    <row r="9" spans="1:13" x14ac:dyDescent="0.35">
      <c r="A9" s="1" t="s">
        <v>7</v>
      </c>
      <c r="B9" s="1"/>
      <c r="C9" s="1"/>
      <c r="D9" s="1"/>
      <c r="E9" s="1"/>
      <c r="F9" s="1"/>
      <c r="G9" s="1"/>
      <c r="H9" s="10"/>
      <c r="I9" s="14" t="s">
        <v>20</v>
      </c>
      <c r="J9" s="14"/>
      <c r="K9" s="14"/>
      <c r="L9" s="11"/>
      <c r="M9" s="1"/>
    </row>
    <row r="10" spans="1:13" x14ac:dyDescent="0.35">
      <c r="A10" s="1" t="s">
        <v>8</v>
      </c>
      <c r="B10" s="1"/>
      <c r="C10" s="1"/>
      <c r="D10" s="1"/>
      <c r="E10" s="1"/>
      <c r="F10" s="1"/>
      <c r="G10" s="1"/>
      <c r="H10" s="10"/>
      <c r="I10" s="14" t="s">
        <v>21</v>
      </c>
      <c r="J10" s="14"/>
      <c r="K10" s="14"/>
      <c r="L10" s="11"/>
      <c r="M10" s="1"/>
    </row>
    <row r="11" spans="1:13" x14ac:dyDescent="0.35">
      <c r="A11" s="1" t="s">
        <v>9</v>
      </c>
      <c r="B11" s="1"/>
      <c r="C11" s="1"/>
      <c r="D11" s="1"/>
      <c r="E11" s="1"/>
      <c r="F11" s="1"/>
      <c r="G11" s="1"/>
      <c r="H11" s="10"/>
      <c r="I11" s="1"/>
      <c r="J11" s="1"/>
      <c r="K11" s="1"/>
      <c r="L11" s="11"/>
      <c r="M11" s="1"/>
    </row>
    <row r="12" spans="1:13" x14ac:dyDescent="0.35">
      <c r="A12" s="1" t="s">
        <v>12</v>
      </c>
      <c r="B12" s="1"/>
      <c r="C12" s="1"/>
      <c r="D12" s="1"/>
      <c r="E12" s="1"/>
      <c r="F12" s="1"/>
      <c r="G12" s="1"/>
      <c r="H12" s="12"/>
      <c r="I12" s="3"/>
      <c r="J12" s="3"/>
      <c r="K12" s="3"/>
      <c r="L12" s="13"/>
      <c r="M12" s="1"/>
    </row>
    <row r="13" spans="1:13" x14ac:dyDescent="0.3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4" t="s">
        <v>11</v>
      </c>
      <c r="B14" s="5"/>
      <c r="C14" s="5"/>
      <c r="D14" s="5"/>
      <c r="E14" s="5"/>
      <c r="F14" s="5"/>
      <c r="G14" s="6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4" t="s">
        <v>19</v>
      </c>
      <c r="B22" s="5"/>
      <c r="C22" s="5"/>
      <c r="D22" s="6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35C7-F8B9-41BC-819A-CBD404E7D8E2}">
  <dimension ref="A1:J18"/>
  <sheetViews>
    <sheetView workbookViewId="0">
      <selection activeCell="M15" sqref="M15"/>
    </sheetView>
  </sheetViews>
  <sheetFormatPr defaultRowHeight="14.5" x14ac:dyDescent="0.35"/>
  <cols>
    <col min="1" max="1" width="16.54296875" customWidth="1"/>
  </cols>
  <sheetData>
    <row r="1" spans="1:10" x14ac:dyDescent="0.3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5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26</v>
      </c>
      <c r="B5" s="2"/>
      <c r="C5" s="2"/>
      <c r="D5" s="2"/>
      <c r="E5" s="2"/>
      <c r="F5" s="2"/>
      <c r="G5" s="2"/>
      <c r="H5" s="2"/>
      <c r="I5" s="2"/>
      <c r="J5" s="2"/>
    </row>
    <row r="6" spans="1:10" ht="15" thickBot="1" x14ac:dyDescent="0.4">
      <c r="A6" t="s">
        <v>3</v>
      </c>
    </row>
    <row r="7" spans="1:10" ht="29" x14ac:dyDescent="0.35">
      <c r="A7" s="20" t="s">
        <v>27</v>
      </c>
      <c r="B7" s="21" t="s">
        <v>28</v>
      </c>
      <c r="C7" s="1"/>
      <c r="D7" s="1"/>
      <c r="E7" s="1"/>
      <c r="F7" s="1"/>
      <c r="G7" s="1"/>
      <c r="H7" s="1"/>
      <c r="I7" s="1"/>
      <c r="J7" s="1"/>
    </row>
    <row r="8" spans="1:10" x14ac:dyDescent="0.35">
      <c r="A8" s="15" t="s">
        <v>29</v>
      </c>
      <c r="B8" s="17">
        <v>50</v>
      </c>
      <c r="C8" s="7"/>
      <c r="D8" s="8"/>
      <c r="E8" s="8"/>
      <c r="F8" s="8"/>
      <c r="G8" s="8"/>
      <c r="H8" s="9"/>
      <c r="I8" s="1"/>
      <c r="J8" s="1"/>
    </row>
    <row r="9" spans="1:10" x14ac:dyDescent="0.35">
      <c r="A9" s="15" t="s">
        <v>30</v>
      </c>
      <c r="B9" s="17">
        <v>20</v>
      </c>
      <c r="C9" s="10"/>
      <c r="D9" s="1"/>
      <c r="E9" s="1"/>
      <c r="F9" s="1"/>
      <c r="G9" s="1"/>
      <c r="H9" s="11"/>
      <c r="I9" s="1"/>
      <c r="J9" s="1"/>
    </row>
    <row r="10" spans="1:10" x14ac:dyDescent="0.35">
      <c r="A10" s="15" t="s">
        <v>31</v>
      </c>
      <c r="B10" s="17">
        <v>15</v>
      </c>
      <c r="C10" s="10"/>
      <c r="D10" s="1" t="s">
        <v>33</v>
      </c>
      <c r="E10" s="1"/>
      <c r="F10" s="1"/>
      <c r="G10" s="1"/>
      <c r="H10" s="11"/>
      <c r="I10" s="1"/>
      <c r="J10" s="1"/>
    </row>
    <row r="11" spans="1:10" ht="15" thickBot="1" x14ac:dyDescent="0.4">
      <c r="A11" s="16" t="s">
        <v>32</v>
      </c>
      <c r="B11" s="18">
        <v>5</v>
      </c>
      <c r="C11" s="10"/>
      <c r="D11" s="1">
        <f>20+15-5</f>
        <v>30</v>
      </c>
      <c r="E11" s="1"/>
      <c r="F11" s="1"/>
      <c r="G11" s="1"/>
      <c r="H11" s="11"/>
      <c r="I11" s="1"/>
      <c r="J11" s="1"/>
    </row>
    <row r="12" spans="1:10" x14ac:dyDescent="0.35">
      <c r="A12" s="1"/>
      <c r="B12" s="1"/>
      <c r="C12" s="10"/>
      <c r="D12" s="1" t="s">
        <v>34</v>
      </c>
      <c r="E12" s="1"/>
      <c r="F12" s="1"/>
      <c r="G12" s="1"/>
      <c r="H12" s="11"/>
      <c r="I12" s="1"/>
      <c r="J12" s="1"/>
    </row>
    <row r="13" spans="1:10" x14ac:dyDescent="0.35">
      <c r="A13" s="1"/>
      <c r="B13" s="1"/>
      <c r="C13" s="10"/>
      <c r="D13" s="1" t="s">
        <v>35</v>
      </c>
      <c r="E13" s="1"/>
      <c r="F13" s="1"/>
      <c r="G13" s="1"/>
      <c r="H13" s="11"/>
      <c r="I13" s="1"/>
      <c r="J13" s="1"/>
    </row>
    <row r="14" spans="1:10" x14ac:dyDescent="0.35">
      <c r="A14" s="1"/>
      <c r="B14" s="1"/>
      <c r="C14" s="10"/>
      <c r="D14" s="19"/>
      <c r="E14" s="1" t="s">
        <v>36</v>
      </c>
      <c r="F14" s="1"/>
      <c r="G14" s="1"/>
      <c r="H14" s="11"/>
      <c r="I14" s="1"/>
      <c r="J14" s="1"/>
    </row>
    <row r="15" spans="1:10" x14ac:dyDescent="0.35">
      <c r="A15" s="1"/>
      <c r="B15" s="1"/>
      <c r="C15" s="10"/>
      <c r="D15" s="1"/>
      <c r="E15" s="1"/>
      <c r="F15" s="1"/>
      <c r="G15" s="1"/>
      <c r="H15" s="11"/>
      <c r="I15" s="1"/>
      <c r="J15" s="1"/>
    </row>
    <row r="16" spans="1:10" x14ac:dyDescent="0.35">
      <c r="A16" s="1"/>
      <c r="B16" s="1"/>
      <c r="C16" s="12"/>
      <c r="D16" s="3"/>
      <c r="E16" s="3"/>
      <c r="F16" s="3"/>
      <c r="G16" s="3"/>
      <c r="H16" s="13"/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E606-EEC6-4DA1-8399-0AA5280BAC03}">
  <dimension ref="A1:L27"/>
  <sheetViews>
    <sheetView workbookViewId="0">
      <selection activeCell="L3" sqref="L3"/>
    </sheetView>
  </sheetViews>
  <sheetFormatPr defaultRowHeight="14.5" x14ac:dyDescent="0.35"/>
  <cols>
    <col min="3" max="3" width="10" customWidth="1"/>
    <col min="8" max="8" width="18.26953125" customWidth="1"/>
  </cols>
  <sheetData>
    <row r="1" spans="1:12" x14ac:dyDescent="0.35">
      <c r="A1" s="2" t="s">
        <v>37</v>
      </c>
      <c r="B1" s="2"/>
      <c r="C1" s="2"/>
      <c r="D1" s="2"/>
      <c r="E1" s="2"/>
      <c r="F1" s="2"/>
      <c r="G1" s="2"/>
      <c r="H1" s="2"/>
      <c r="I1" s="2"/>
    </row>
    <row r="2" spans="1:12" x14ac:dyDescent="0.35">
      <c r="A2" s="2" t="s">
        <v>38</v>
      </c>
      <c r="B2" s="2"/>
      <c r="C2" s="2"/>
      <c r="D2" s="2"/>
      <c r="E2" s="2"/>
      <c r="F2" s="2"/>
      <c r="G2" s="2"/>
      <c r="H2" s="2"/>
      <c r="I2" s="2"/>
    </row>
    <row r="3" spans="1:12" ht="15" thickBot="1" x14ac:dyDescent="0.4">
      <c r="A3" t="s">
        <v>3</v>
      </c>
    </row>
    <row r="4" spans="1:12" x14ac:dyDescent="0.35">
      <c r="A4" s="1"/>
      <c r="B4" s="1"/>
      <c r="C4" s="22" t="s">
        <v>39</v>
      </c>
      <c r="D4" s="23" t="s">
        <v>28</v>
      </c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5" t="s">
        <v>40</v>
      </c>
      <c r="D5" s="24">
        <v>3</v>
      </c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5" t="s">
        <v>41</v>
      </c>
      <c r="D6" s="24">
        <v>2</v>
      </c>
      <c r="E6" s="1"/>
      <c r="F6" s="1"/>
      <c r="G6" s="1"/>
      <c r="H6" s="1"/>
      <c r="I6" s="1"/>
      <c r="J6" s="1"/>
      <c r="K6" s="1"/>
      <c r="L6" s="1"/>
    </row>
    <row r="7" spans="1:12" ht="15" thickBot="1" x14ac:dyDescent="0.4">
      <c r="A7" s="1"/>
      <c r="B7" s="1"/>
      <c r="C7" s="16" t="s">
        <v>42</v>
      </c>
      <c r="D7" s="25">
        <f>$D5+$D6</f>
        <v>5</v>
      </c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3.5" x14ac:dyDescent="0.35">
      <c r="A9" s="1"/>
      <c r="B9" s="1"/>
      <c r="C9" s="1"/>
      <c r="D9" s="1"/>
      <c r="E9" s="1"/>
      <c r="F9" s="26" t="s">
        <v>43</v>
      </c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 t="s">
        <v>44</v>
      </c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27" t="s">
        <v>39</v>
      </c>
      <c r="I13" s="27" t="s">
        <v>28</v>
      </c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28" t="s">
        <v>45</v>
      </c>
      <c r="I14" s="29">
        <f>$D5-1</f>
        <v>2</v>
      </c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28" t="s">
        <v>46</v>
      </c>
      <c r="I15" s="29">
        <f>$D7-1</f>
        <v>4</v>
      </c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5" x14ac:dyDescent="0.35">
      <c r="A18" s="1"/>
      <c r="B18" s="1"/>
      <c r="C18" s="1"/>
      <c r="D18" s="1"/>
      <c r="E18" s="1"/>
      <c r="F18" s="26" t="s">
        <v>47</v>
      </c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6.5" x14ac:dyDescent="0.35">
      <c r="A20" s="1"/>
      <c r="B20" s="1"/>
      <c r="C20" s="1"/>
      <c r="D20" s="1"/>
      <c r="E20" s="1"/>
      <c r="F20" s="1"/>
      <c r="G20" s="1"/>
      <c r="H20" s="30">
        <f>$I14/$I15</f>
        <v>0.5</v>
      </c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 t="s">
        <v>48</v>
      </c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3.5" x14ac:dyDescent="0.35">
      <c r="A24" s="1"/>
      <c r="B24" s="1"/>
      <c r="C24" s="1"/>
      <c r="D24" s="1"/>
      <c r="E24" s="1"/>
      <c r="F24" s="26" t="s">
        <v>49</v>
      </c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4" t="s">
        <v>50</v>
      </c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B0FF-4A51-439D-8C75-4A832CFC4C2A}">
  <dimension ref="A1:U28"/>
  <sheetViews>
    <sheetView workbookViewId="0">
      <selection activeCell="N4" sqref="N4"/>
    </sheetView>
  </sheetViews>
  <sheetFormatPr defaultRowHeight="14.5" x14ac:dyDescent="0.35"/>
  <sheetData>
    <row r="1" spans="1:21" x14ac:dyDescent="0.3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1" x14ac:dyDescent="0.35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21" x14ac:dyDescent="0.35">
      <c r="A3" s="2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1" x14ac:dyDescent="0.35">
      <c r="A4" t="s">
        <v>3</v>
      </c>
    </row>
    <row r="5" spans="1:21" ht="21" x14ac:dyDescent="0.35">
      <c r="A5" s="31" t="s">
        <v>54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5">
      <c r="A7" s="1"/>
      <c r="B7" s="32" t="s">
        <v>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5">
      <c r="A8" s="1"/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5">
      <c r="A9" s="1"/>
      <c r="B9" s="1"/>
      <c r="C9" s="34" t="s">
        <v>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5">
      <c r="A10" s="1"/>
      <c r="B10" s="1"/>
      <c r="C10" s="3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5">
      <c r="A11" s="1"/>
      <c r="B11" s="1"/>
      <c r="C11" s="34" t="s">
        <v>57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5">
      <c r="A12" s="1"/>
      <c r="B12" s="3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5">
      <c r="A13" s="1"/>
      <c r="B13" s="35" t="s">
        <v>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5">
      <c r="A14" s="1"/>
      <c r="B14" s="3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5">
      <c r="A15" s="1"/>
      <c r="B15" s="36" t="s">
        <v>59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5">
      <c r="A16" s="1"/>
      <c r="B16" s="3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5">
      <c r="A17" s="1"/>
      <c r="B17" s="1"/>
      <c r="C17" s="33" t="s">
        <v>60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5">
      <c r="A18" s="1"/>
      <c r="B18" s="1"/>
      <c r="C18" s="3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5">
      <c r="A19" s="1"/>
      <c r="B19" s="1"/>
      <c r="C19" s="33" t="s">
        <v>61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5">
      <c r="A20" s="1"/>
      <c r="B20" s="1"/>
      <c r="C20" s="3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5">
      <c r="A21" s="1"/>
      <c r="B21" s="35" t="s">
        <v>62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1" x14ac:dyDescent="0.35">
      <c r="A25" s="31" t="s">
        <v>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5">
      <c r="A27" s="1"/>
      <c r="B27" s="14" t="s">
        <v>63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127A-39A3-459C-904F-8002A8ED66F0}">
  <dimension ref="A1:L23"/>
  <sheetViews>
    <sheetView workbookViewId="0">
      <selection activeCell="K3" sqref="K3"/>
    </sheetView>
  </sheetViews>
  <sheetFormatPr defaultRowHeight="14.5" x14ac:dyDescent="0.35"/>
  <cols>
    <col min="4" max="4" width="20.08984375" customWidth="1"/>
  </cols>
  <sheetData>
    <row r="1" spans="1:12" x14ac:dyDescent="0.35">
      <c r="A1" s="2" t="s">
        <v>64</v>
      </c>
      <c r="B1" s="2"/>
      <c r="C1" s="2"/>
      <c r="D1" s="2"/>
      <c r="E1" s="2"/>
      <c r="F1" s="2"/>
      <c r="G1" s="2"/>
      <c r="H1" s="2"/>
      <c r="I1" s="2"/>
    </row>
    <row r="2" spans="1:12" x14ac:dyDescent="0.35">
      <c r="A2" s="2" t="s">
        <v>65</v>
      </c>
      <c r="B2" s="2"/>
      <c r="C2" s="2"/>
      <c r="D2" s="2"/>
      <c r="E2" s="2"/>
      <c r="F2" s="2"/>
      <c r="G2" s="2"/>
      <c r="H2" s="2"/>
      <c r="I2" s="2"/>
    </row>
    <row r="3" spans="1:12" x14ac:dyDescent="0.35">
      <c r="A3" s="2" t="s">
        <v>66</v>
      </c>
      <c r="B3" s="2"/>
      <c r="C3" s="2"/>
      <c r="D3" s="2"/>
      <c r="E3" s="2"/>
      <c r="F3" s="2"/>
      <c r="G3" s="2"/>
      <c r="H3" s="2"/>
      <c r="I3" s="2"/>
    </row>
    <row r="4" spans="1:12" x14ac:dyDescent="0.35">
      <c r="A4" t="s">
        <v>3</v>
      </c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5" x14ac:dyDescent="0.35">
      <c r="A6" s="1"/>
      <c r="B6" s="1"/>
      <c r="C6" s="26" t="s">
        <v>67</v>
      </c>
      <c r="D6" s="1"/>
      <c r="E6" s="1"/>
      <c r="F6" s="1"/>
      <c r="G6" s="1"/>
      <c r="H6" s="1"/>
      <c r="I6" s="1"/>
      <c r="J6" s="1"/>
      <c r="K6" s="1"/>
      <c r="L6" s="1"/>
    </row>
    <row r="7" spans="1:12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37"/>
      <c r="D8" s="22" t="s">
        <v>39</v>
      </c>
      <c r="E8" s="23" t="s">
        <v>28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38"/>
      <c r="D9" s="15" t="s">
        <v>68</v>
      </c>
      <c r="E9" s="24">
        <v>160</v>
      </c>
      <c r="F9" s="1"/>
      <c r="G9" s="1"/>
      <c r="H9" s="1"/>
      <c r="I9" s="1"/>
      <c r="J9" s="1"/>
      <c r="K9" s="1"/>
      <c r="L9" s="1"/>
    </row>
    <row r="10" spans="1:12" ht="15" thickBot="1" x14ac:dyDescent="0.4">
      <c r="A10" s="1"/>
      <c r="B10" s="1"/>
      <c r="C10" s="38"/>
      <c r="D10" s="16" t="s">
        <v>69</v>
      </c>
      <c r="E10" s="39">
        <v>158</v>
      </c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5" x14ac:dyDescent="0.35">
      <c r="A12" s="1"/>
      <c r="B12" s="1"/>
      <c r="C12" s="26" t="s">
        <v>70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4" t="s">
        <v>71</v>
      </c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 t="s">
        <v>72</v>
      </c>
      <c r="E16" s="40">
        <f>$E9-$E10</f>
        <v>2</v>
      </c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41"/>
      <c r="D17" s="1"/>
      <c r="E17" s="1"/>
      <c r="F17" s="1"/>
      <c r="G17" s="1"/>
      <c r="H17" s="1"/>
      <c r="I17" s="1"/>
      <c r="J17" s="1"/>
      <c r="K17" s="1"/>
      <c r="L17" s="1"/>
    </row>
    <row r="18" spans="1:12" ht="23.5" x14ac:dyDescent="0.35">
      <c r="A18" s="1"/>
      <c r="B18" s="1"/>
      <c r="C18" s="26" t="s">
        <v>49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4" t="s">
        <v>73</v>
      </c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 t="s">
        <v>74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299F-FA36-428B-A2B0-8453F9C00D78}">
  <dimension ref="A1:L22"/>
  <sheetViews>
    <sheetView workbookViewId="0">
      <selection activeCell="K2" sqref="K2"/>
    </sheetView>
  </sheetViews>
  <sheetFormatPr defaultRowHeight="14.5" x14ac:dyDescent="0.35"/>
  <cols>
    <col min="4" max="4" width="25.6328125" customWidth="1"/>
  </cols>
  <sheetData>
    <row r="1" spans="1:12" x14ac:dyDescent="0.35">
      <c r="A1" s="2" t="s">
        <v>75</v>
      </c>
      <c r="B1" s="2"/>
      <c r="C1" s="2"/>
      <c r="D1" s="2"/>
      <c r="E1" s="2"/>
      <c r="F1" s="2"/>
      <c r="G1" s="2"/>
      <c r="H1" s="2"/>
    </row>
    <row r="2" spans="1:12" x14ac:dyDescent="0.35">
      <c r="A2" s="2" t="s">
        <v>76</v>
      </c>
      <c r="B2" s="2"/>
      <c r="C2" s="2"/>
      <c r="D2" s="2"/>
      <c r="E2" s="2"/>
      <c r="F2" s="2"/>
      <c r="G2" s="2"/>
      <c r="H2" s="2"/>
    </row>
    <row r="3" spans="1:12" x14ac:dyDescent="0.35">
      <c r="A3" t="s">
        <v>3</v>
      </c>
    </row>
    <row r="4" spans="1:12" ht="23.5" x14ac:dyDescent="0.35">
      <c r="A4" s="1"/>
      <c r="B4" s="1"/>
      <c r="C4" s="26" t="s">
        <v>77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42"/>
      <c r="D6" s="27" t="s">
        <v>39</v>
      </c>
      <c r="E6" s="27" t="s">
        <v>28</v>
      </c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41"/>
      <c r="D7" s="28" t="s">
        <v>78</v>
      </c>
      <c r="E7" s="28">
        <v>5000</v>
      </c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41"/>
      <c r="D8" s="28" t="s">
        <v>79</v>
      </c>
      <c r="E8" s="28">
        <v>100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5" x14ac:dyDescent="0.35">
      <c r="A10" s="1"/>
      <c r="B10" s="1"/>
      <c r="C10" s="26" t="s">
        <v>80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43" t="s">
        <v>81</v>
      </c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44" t="s">
        <v>82</v>
      </c>
      <c r="E15" s="1">
        <f>$E7/SQRT(E8)</f>
        <v>500</v>
      </c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5" x14ac:dyDescent="0.35">
      <c r="A17" s="1"/>
      <c r="B17" s="1"/>
      <c r="C17" s="26" t="s">
        <v>49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4" t="s">
        <v>83</v>
      </c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 t="s">
        <v>84</v>
      </c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4247-6041-44F4-8344-5AAFFC6D9E87}">
  <dimension ref="A1:L36"/>
  <sheetViews>
    <sheetView workbookViewId="0">
      <selection activeCell="I4" sqref="I4"/>
    </sheetView>
  </sheetViews>
  <sheetFormatPr defaultRowHeight="14.5" x14ac:dyDescent="0.35"/>
  <cols>
    <col min="4" max="4" width="16.26953125" customWidth="1"/>
  </cols>
  <sheetData>
    <row r="1" spans="1:12" x14ac:dyDescent="0.35">
      <c r="A1" s="2" t="s">
        <v>85</v>
      </c>
      <c r="B1" s="2"/>
      <c r="C1" s="2"/>
      <c r="D1" s="2"/>
      <c r="E1" s="2"/>
      <c r="F1" s="2"/>
      <c r="G1" s="2"/>
      <c r="H1" s="2"/>
    </row>
    <row r="2" spans="1:12" x14ac:dyDescent="0.35">
      <c r="A2" s="2" t="s">
        <v>86</v>
      </c>
      <c r="B2" s="2"/>
      <c r="C2" s="2"/>
      <c r="D2" s="2"/>
      <c r="E2" s="2"/>
      <c r="F2" s="2"/>
      <c r="G2" s="2"/>
      <c r="H2" s="2"/>
    </row>
    <row r="3" spans="1:12" x14ac:dyDescent="0.35">
      <c r="A3" s="2" t="s">
        <v>87</v>
      </c>
      <c r="B3" s="2"/>
      <c r="C3" s="2"/>
      <c r="D3" s="2"/>
      <c r="E3" s="2"/>
      <c r="F3" s="2"/>
      <c r="G3" s="2"/>
      <c r="H3" s="2"/>
    </row>
    <row r="4" spans="1:12" x14ac:dyDescent="0.35">
      <c r="A4" s="2" t="s">
        <v>88</v>
      </c>
      <c r="B4" s="2"/>
      <c r="C4" s="2"/>
      <c r="D4" s="2"/>
      <c r="E4" s="2"/>
      <c r="F4" s="2"/>
      <c r="G4" s="2"/>
      <c r="H4" s="2"/>
    </row>
    <row r="5" spans="1:12" x14ac:dyDescent="0.35">
      <c r="A5" s="2" t="s">
        <v>89</v>
      </c>
      <c r="B5" s="2"/>
      <c r="C5" s="2"/>
      <c r="D5" s="2"/>
      <c r="E5" s="2"/>
      <c r="F5" s="2"/>
      <c r="G5" s="2"/>
      <c r="H5" s="2"/>
    </row>
    <row r="6" spans="1:12" x14ac:dyDescent="0.35">
      <c r="A6" t="s">
        <v>3</v>
      </c>
    </row>
    <row r="7" spans="1:12" ht="23.5" x14ac:dyDescent="0.35">
      <c r="A7" s="1"/>
      <c r="B7" s="1"/>
      <c r="C7" s="26" t="s">
        <v>90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42"/>
      <c r="D9" s="27" t="s">
        <v>39</v>
      </c>
      <c r="E9" s="27" t="s">
        <v>28</v>
      </c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41"/>
      <c r="D10" s="28" t="s">
        <v>29</v>
      </c>
      <c r="E10" s="28">
        <v>100</v>
      </c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41"/>
      <c r="D11" s="28" t="s">
        <v>91</v>
      </c>
      <c r="E11" s="28">
        <v>40</v>
      </c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41"/>
      <c r="D12" s="28" t="s">
        <v>92</v>
      </c>
      <c r="E12" s="28">
        <v>30</v>
      </c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41"/>
      <c r="D13" s="28" t="s">
        <v>93</v>
      </c>
      <c r="E13" s="28">
        <v>10</v>
      </c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3.5" x14ac:dyDescent="0.35">
      <c r="A16" s="1"/>
      <c r="B16" s="1"/>
      <c r="C16" s="26" t="s">
        <v>94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 t="s">
        <v>95</v>
      </c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 t="s">
        <v>96</v>
      </c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43" t="s">
        <v>82</v>
      </c>
      <c r="E22" s="40">
        <f>E11+E12-E13</f>
        <v>60</v>
      </c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4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 t="s">
        <v>97</v>
      </c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3.5" x14ac:dyDescent="0.35">
      <c r="A26" s="1"/>
      <c r="B26" s="1"/>
      <c r="C26" s="26" t="s">
        <v>98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 t="s">
        <v>99</v>
      </c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4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43" t="s">
        <v>82</v>
      </c>
      <c r="E31" s="45">
        <f>E22/E10</f>
        <v>0.6</v>
      </c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3.5" x14ac:dyDescent="0.35">
      <c r="A33" s="1"/>
      <c r="B33" s="1"/>
      <c r="C33" s="26" t="s">
        <v>49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4" t="s">
        <v>100</v>
      </c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4F1D-32D8-4AD4-AC85-12D4F153DD66}">
  <dimension ref="A1:L43"/>
  <sheetViews>
    <sheetView workbookViewId="0">
      <selection activeCell="K1" sqref="K1"/>
    </sheetView>
  </sheetViews>
  <sheetFormatPr defaultRowHeight="14.5" x14ac:dyDescent="0.35"/>
  <cols>
    <col min="4" max="4" width="13.6328125" customWidth="1"/>
  </cols>
  <sheetData>
    <row r="1" spans="1:12" x14ac:dyDescent="0.35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5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</row>
    <row r="3" spans="1:12" x14ac:dyDescent="0.35">
      <c r="A3" t="s">
        <v>3</v>
      </c>
    </row>
    <row r="4" spans="1:12" ht="23.5" x14ac:dyDescent="0.35">
      <c r="A4" s="1"/>
      <c r="B4" s="26" t="s">
        <v>90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42"/>
      <c r="D6" s="27" t="s">
        <v>39</v>
      </c>
      <c r="E6" s="27" t="s">
        <v>28</v>
      </c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41"/>
      <c r="D7" s="28" t="s">
        <v>103</v>
      </c>
      <c r="E7" s="28">
        <v>52</v>
      </c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41"/>
      <c r="D8" s="28" t="s">
        <v>104</v>
      </c>
      <c r="E8" s="28">
        <v>4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5" x14ac:dyDescent="0.35">
      <c r="A11" s="1"/>
      <c r="B11" s="26" t="s">
        <v>105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 t="s">
        <v>106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4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46">
        <f>$E$8/$E$7</f>
        <v>7.6923076923076927E-2</v>
      </c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 t="s">
        <v>107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3.5" x14ac:dyDescent="0.35">
      <c r="A21" s="1"/>
      <c r="B21" s="26" t="s">
        <v>108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 t="s">
        <v>109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 t="s">
        <v>110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43" t="s">
        <v>82</v>
      </c>
      <c r="D26" s="47">
        <f>3/51</f>
        <v>5.8823529411764705E-2</v>
      </c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4" t="s">
        <v>111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3.5" x14ac:dyDescent="0.35">
      <c r="A30" s="1"/>
      <c r="B30" s="26" t="s">
        <v>112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 t="s">
        <v>113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43" t="s">
        <v>82</v>
      </c>
      <c r="D34" s="47">
        <f>$D$15*$D$26</f>
        <v>4.5248868778280547E-3</v>
      </c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3.5" x14ac:dyDescent="0.35">
      <c r="A38" s="1"/>
      <c r="B38" s="26" t="s">
        <v>114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4" t="s">
        <v>115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 t="s">
        <v>116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2609-9971-42C5-AC6B-BDB6DDE7145D}">
  <dimension ref="A1:L29"/>
  <sheetViews>
    <sheetView workbookViewId="0">
      <selection activeCell="K1" sqref="K1"/>
    </sheetView>
  </sheetViews>
  <sheetFormatPr defaultRowHeight="14.5" x14ac:dyDescent="0.35"/>
  <cols>
    <col min="3" max="3" width="18.90625" customWidth="1"/>
  </cols>
  <sheetData>
    <row r="1" spans="1:12" x14ac:dyDescent="0.35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5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</row>
    <row r="3" spans="1:12" x14ac:dyDescent="0.35">
      <c r="A3" t="s">
        <v>3</v>
      </c>
    </row>
    <row r="4" spans="1:12" ht="23.5" x14ac:dyDescent="0.35">
      <c r="A4" s="1"/>
      <c r="B4" s="26" t="s">
        <v>119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42"/>
      <c r="C6" s="27" t="s">
        <v>39</v>
      </c>
      <c r="D6" s="27" t="s">
        <v>28</v>
      </c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41"/>
      <c r="C7" s="28" t="s">
        <v>120</v>
      </c>
      <c r="D7" s="48">
        <v>0.02</v>
      </c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41"/>
      <c r="C8" s="28" t="s">
        <v>121</v>
      </c>
      <c r="D8" s="49">
        <f>1-D7</f>
        <v>0.98</v>
      </c>
      <c r="E8" s="50" t="s">
        <v>122</v>
      </c>
      <c r="F8" s="1"/>
      <c r="G8" s="1"/>
      <c r="H8" s="1"/>
      <c r="I8" s="1"/>
      <c r="J8" s="1"/>
      <c r="K8" s="1"/>
      <c r="L8" s="1"/>
    </row>
    <row r="9" spans="1:12" x14ac:dyDescent="0.35">
      <c r="A9" s="1"/>
      <c r="B9" s="41"/>
      <c r="C9" s="28" t="s">
        <v>123</v>
      </c>
      <c r="D9" s="28">
        <v>5</v>
      </c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5" x14ac:dyDescent="0.35">
      <c r="A12" s="1"/>
      <c r="B12" s="26" t="s">
        <v>124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 t="s">
        <v>81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 t="s">
        <v>125</v>
      </c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43" t="s">
        <v>82</v>
      </c>
      <c r="D18" s="51">
        <f>D8^D9</f>
        <v>0.90392079679999982</v>
      </c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3.5" x14ac:dyDescent="0.35">
      <c r="A22" s="1"/>
      <c r="B22" s="26" t="s">
        <v>49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44" t="s">
        <v>126</v>
      </c>
      <c r="D24" s="14" t="s">
        <v>127</v>
      </c>
      <c r="E24" s="1"/>
      <c r="F24" s="1"/>
      <c r="G24" s="1"/>
      <c r="H24" s="1"/>
      <c r="I24" s="1"/>
      <c r="J24" s="1"/>
      <c r="K24" s="1"/>
      <c r="L24" s="1"/>
    </row>
    <row r="25" spans="1:12" ht="15.5" x14ac:dyDescent="0.35">
      <c r="A25" s="1"/>
      <c r="B25" s="1"/>
      <c r="C25" s="1"/>
      <c r="D25" s="52" t="s">
        <v>128</v>
      </c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53">
        <v>0.90390000000000004</v>
      </c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 t="s">
        <v>129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8D55-9BAA-464D-BA24-7D0CB9D306E1}">
  <dimension ref="A1:J69"/>
  <sheetViews>
    <sheetView tabSelected="1" workbookViewId="0">
      <selection activeCell="F2" sqref="F2"/>
    </sheetView>
  </sheetViews>
  <sheetFormatPr defaultRowHeight="14.5" x14ac:dyDescent="0.35"/>
  <cols>
    <col min="2" max="2" width="22.90625" customWidth="1"/>
    <col min="3" max="3" width="40.08984375" customWidth="1"/>
    <col min="4" max="4" width="38.08984375" customWidth="1"/>
  </cols>
  <sheetData>
    <row r="1" spans="1:10" x14ac:dyDescent="0.35">
      <c r="A1" s="2" t="s">
        <v>130</v>
      </c>
      <c r="B1" s="2"/>
      <c r="C1" s="2"/>
      <c r="D1" s="2"/>
    </row>
    <row r="2" spans="1:10" x14ac:dyDescent="0.35">
      <c r="A2" t="s">
        <v>3</v>
      </c>
    </row>
    <row r="3" spans="1:10" ht="21" x14ac:dyDescent="0.5">
      <c r="A3" s="54" t="s">
        <v>131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5" x14ac:dyDescent="0.35">
      <c r="A5" s="1"/>
      <c r="B5" s="55" t="s">
        <v>132</v>
      </c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 t="s">
        <v>133</v>
      </c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5" x14ac:dyDescent="0.35">
      <c r="A9" s="1"/>
      <c r="B9" s="55" t="s">
        <v>134</v>
      </c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1"/>
      <c r="C11" s="1" t="s">
        <v>135</v>
      </c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 t="s">
        <v>136</v>
      </c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 t="s">
        <v>137</v>
      </c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.5" x14ac:dyDescent="0.35">
      <c r="A17" s="1"/>
      <c r="B17" s="55" t="s">
        <v>138</v>
      </c>
      <c r="C17" s="1"/>
      <c r="D17" s="1"/>
      <c r="E17" s="1"/>
      <c r="F17" s="1"/>
      <c r="G17" s="1"/>
      <c r="H17" s="1"/>
      <c r="I17" s="1"/>
      <c r="J17" s="1"/>
    </row>
    <row r="18" spans="1:10" ht="15.5" x14ac:dyDescent="0.35">
      <c r="A18" s="1"/>
      <c r="B18" s="55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 t="s">
        <v>139</v>
      </c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 t="s">
        <v>140</v>
      </c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 t="s">
        <v>141</v>
      </c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1" x14ac:dyDescent="0.5">
      <c r="A27" s="54" t="s">
        <v>142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5" x14ac:dyDescent="0.35">
      <c r="A29" s="1"/>
      <c r="B29" s="55" t="s">
        <v>132</v>
      </c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1"/>
      <c r="C31" s="1" t="s">
        <v>143</v>
      </c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5" x14ac:dyDescent="0.35">
      <c r="A33" s="1"/>
      <c r="B33" s="55" t="s">
        <v>134</v>
      </c>
      <c r="C33" s="1"/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5">
      <c r="A35" s="1"/>
      <c r="B35" s="1"/>
      <c r="C35" s="1" t="s">
        <v>144</v>
      </c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C37" s="1" t="s">
        <v>145</v>
      </c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5">
      <c r="A39" s="1"/>
      <c r="B39" s="1"/>
      <c r="C39" s="1" t="s">
        <v>146</v>
      </c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5" x14ac:dyDescent="0.35">
      <c r="A41" s="1"/>
      <c r="B41" s="55" t="s">
        <v>138</v>
      </c>
      <c r="C41" s="1"/>
      <c r="D41" s="1"/>
      <c r="E41" s="1"/>
      <c r="F41" s="1"/>
      <c r="G41" s="1"/>
      <c r="H41" s="1"/>
      <c r="I41" s="1"/>
      <c r="J41" s="1"/>
    </row>
    <row r="42" spans="1:1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1"/>
      <c r="C43" s="1" t="s">
        <v>147</v>
      </c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1"/>
      <c r="C45" s="1" t="s">
        <v>148</v>
      </c>
      <c r="D45" s="1"/>
      <c r="E45" s="1"/>
      <c r="F45" s="1"/>
      <c r="G45" s="1"/>
      <c r="H45" s="1"/>
      <c r="I45" s="1"/>
      <c r="J45" s="1"/>
    </row>
    <row r="46" spans="1:1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5">
      <c r="A47" s="1"/>
      <c r="B47" s="1"/>
      <c r="C47" s="1" t="s">
        <v>149</v>
      </c>
      <c r="D47" s="1"/>
      <c r="E47" s="1"/>
      <c r="F47" s="1"/>
      <c r="G47" s="1"/>
      <c r="H47" s="1"/>
      <c r="I47" s="1"/>
      <c r="J47" s="1"/>
    </row>
    <row r="48" spans="1:1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1" x14ac:dyDescent="0.5">
      <c r="A51" s="54" t="s">
        <v>150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5">
      <c r="A53" s="1"/>
      <c r="B53" s="56" t="s">
        <v>151</v>
      </c>
      <c r="C53" s="56" t="s">
        <v>152</v>
      </c>
      <c r="D53" s="56" t="s">
        <v>153</v>
      </c>
      <c r="E53" s="1"/>
      <c r="F53" s="1"/>
      <c r="G53" s="1"/>
      <c r="H53" s="1"/>
      <c r="I53" s="1"/>
      <c r="J53" s="1"/>
    </row>
    <row r="54" spans="1:10" x14ac:dyDescent="0.35">
      <c r="A54" s="1"/>
      <c r="B54" s="57" t="s">
        <v>154</v>
      </c>
      <c r="C54" s="57" t="s">
        <v>155</v>
      </c>
      <c r="D54" s="57" t="s">
        <v>156</v>
      </c>
      <c r="E54" s="1"/>
      <c r="F54" s="1"/>
      <c r="G54" s="1"/>
      <c r="H54" s="1"/>
      <c r="I54" s="1"/>
      <c r="J54" s="1"/>
    </row>
    <row r="55" spans="1:10" x14ac:dyDescent="0.35">
      <c r="A55" s="1"/>
      <c r="B55" s="57" t="s">
        <v>157</v>
      </c>
      <c r="C55" s="57" t="s">
        <v>158</v>
      </c>
      <c r="D55" s="57" t="s">
        <v>159</v>
      </c>
      <c r="E55" s="1"/>
      <c r="F55" s="1"/>
      <c r="G55" s="1"/>
      <c r="H55" s="1"/>
      <c r="I55" s="1"/>
      <c r="J55" s="1"/>
    </row>
    <row r="56" spans="1:10" x14ac:dyDescent="0.35">
      <c r="A56" s="1"/>
      <c r="B56" s="57" t="s">
        <v>160</v>
      </c>
      <c r="C56" s="57" t="s">
        <v>161</v>
      </c>
      <c r="D56" s="57" t="s">
        <v>162</v>
      </c>
      <c r="E56" s="1"/>
      <c r="F56" s="1"/>
      <c r="G56" s="1"/>
      <c r="H56" s="1"/>
      <c r="I56" s="1"/>
      <c r="J56" s="1"/>
    </row>
    <row r="57" spans="1:10" x14ac:dyDescent="0.35">
      <c r="A57" s="1"/>
      <c r="B57" s="57" t="s">
        <v>138</v>
      </c>
      <c r="C57" s="57" t="s">
        <v>163</v>
      </c>
      <c r="D57" s="57" t="s">
        <v>164</v>
      </c>
      <c r="E57" s="1"/>
      <c r="F57" s="1"/>
      <c r="G57" s="1"/>
      <c r="H57" s="1"/>
      <c r="I57" s="1"/>
      <c r="J57" s="1"/>
    </row>
    <row r="58" spans="1:10" x14ac:dyDescent="0.35">
      <c r="A58" s="1"/>
      <c r="B58" s="57" t="s">
        <v>165</v>
      </c>
      <c r="C58" s="57" t="s">
        <v>166</v>
      </c>
      <c r="D58" s="57" t="s">
        <v>167</v>
      </c>
      <c r="E58" s="1"/>
      <c r="F58" s="1"/>
      <c r="G58" s="1"/>
      <c r="H58" s="1"/>
      <c r="I58" s="1"/>
      <c r="J58" s="1"/>
    </row>
    <row r="59" spans="1:10" x14ac:dyDescent="0.35">
      <c r="A59" s="1"/>
      <c r="B59" s="57" t="s">
        <v>168</v>
      </c>
      <c r="C59" s="57" t="s">
        <v>169</v>
      </c>
      <c r="D59" s="57" t="s">
        <v>170</v>
      </c>
      <c r="E59" s="1"/>
      <c r="F59" s="1"/>
      <c r="G59" s="1"/>
      <c r="H59" s="1"/>
      <c r="I59" s="1"/>
      <c r="J59" s="1"/>
    </row>
    <row r="60" spans="1:1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21" x14ac:dyDescent="0.5">
      <c r="A62" s="54" t="s">
        <v>171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5">
      <c r="A64" s="1"/>
      <c r="B64" s="1" t="s">
        <v>172</v>
      </c>
      <c r="C64" s="1"/>
      <c r="D64" s="1"/>
      <c r="E64" s="1"/>
      <c r="F64" s="1"/>
      <c r="G64" s="1"/>
      <c r="H64" s="1"/>
      <c r="I64" s="1"/>
      <c r="J64" s="1"/>
    </row>
    <row r="65" spans="1:1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5">
      <c r="A66" s="1"/>
      <c r="B66" s="1" t="s">
        <v>173</v>
      </c>
      <c r="C66" s="1"/>
      <c r="D66" s="1"/>
      <c r="E66" s="1"/>
      <c r="F66" s="1"/>
      <c r="G66" s="1"/>
      <c r="H66" s="1"/>
      <c r="I66" s="1"/>
      <c r="J66" s="1"/>
    </row>
    <row r="67" spans="1:1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5">
      <c r="A68" s="1"/>
      <c r="B68" s="1" t="s">
        <v>174</v>
      </c>
      <c r="C68" s="1"/>
      <c r="D68" s="1"/>
      <c r="E68" s="1"/>
      <c r="F68" s="1"/>
      <c r="G68" s="1"/>
      <c r="H68" s="1"/>
      <c r="I68" s="1"/>
      <c r="J68" s="1"/>
    </row>
    <row r="69" spans="1:1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 a</dc:creator>
  <cp:lastModifiedBy>Janith a</cp:lastModifiedBy>
  <dcterms:created xsi:type="dcterms:W3CDTF">2025-07-21T09:59:32Z</dcterms:created>
  <dcterms:modified xsi:type="dcterms:W3CDTF">2026-01-06T01:50:05Z</dcterms:modified>
</cp:coreProperties>
</file>