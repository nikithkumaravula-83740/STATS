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 ANALYTICS\EXCEL\ASSIGNMENTS\"/>
    </mc:Choice>
  </mc:AlternateContent>
  <xr:revisionPtr revIDLastSave="0" documentId="13_ncr:1_{BD6FD557-A2D6-4044-98DE-940BC4295E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</sheets>
  <definedNames>
    <definedName name="_xlchart.v1.0" hidden="1">'QUESTION 2'!$A$4:$A$97</definedName>
    <definedName name="_xlchart.v1.1" hidden="1">'QUESTION 2'!$A$4:$A$97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wV0NiqBFxxu9afn4HsLIl/JOHc1U7Puwe9/GsmgMz9c="/>
    </ext>
  </extLst>
</workbook>
</file>

<file path=xl/calcChain.xml><?xml version="1.0" encoding="utf-8"?>
<calcChain xmlns="http://schemas.openxmlformats.org/spreadsheetml/2006/main">
  <c r="B13" i="7" l="1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B14" i="1"/>
</calcChain>
</file>

<file path=xl/sharedStrings.xml><?xml version="1.0" encoding="utf-8"?>
<sst xmlns="http://schemas.openxmlformats.org/spreadsheetml/2006/main" count="97" uniqueCount="90">
  <si>
    <t>1. Simulate 30 rolls with =RANDBETWEEN(1,6). What is the probability of rolling a 3 exactly 5 times? (Hint: Use BINOM.DIST)</t>
  </si>
  <si>
    <r>
      <rPr>
        <sz val="14"/>
        <color rgb="FF000000"/>
        <rFont val="Calibri,Arial"/>
      </rPr>
      <t xml:space="preserve">Rolling a fair die follows a </t>
    </r>
    <r>
      <rPr>
        <b/>
        <sz val="14"/>
        <color rgb="FF000000"/>
        <rFont val="Calibri"/>
      </rPr>
      <t>binomial distribution</t>
    </r>
    <r>
      <rPr>
        <sz val="14"/>
        <color rgb="FF000000"/>
        <rFont val="Calibri"/>
      </rPr>
      <t xml:space="preserve"> because:</t>
    </r>
  </si>
  <si>
    <t>Fixed number of trials n=30n = 30n=30</t>
  </si>
  <si>
    <t>Only two outcomes per trial (success = getting a 3, failure = not getting a 3)</t>
  </si>
  <si>
    <t>Probability of success p=1/6</t>
  </si>
  <si>
    <t>We want exactly x=5 successes</t>
  </si>
  <si>
    <t>Probability≈0.1921</t>
  </si>
  <si>
    <t>2. Generate 100 values in Excel using the continuous uniform distribution RAND() and plot a histogram. Describe the shape of the distribution.</t>
  </si>
  <si>
    <t>The histogram of values generated using RAND() shows a uniform (rectangular) distribution.</t>
  </si>
  <si>
    <t>The bars are approximately equal in height across all intervals.</t>
  </si>
  <si>
    <t>No central peak or skewness is observed.</t>
  </si>
  <si>
    <t>This indicates that all values between 0 and 1 are equally likely.</t>
  </si>
  <si>
    <t>Shape: The distribution is rectangular (or "flat").</t>
  </si>
  <si>
    <t>Description: Unlike a normal distribution which has a central peak (bell shape), a uniform distribution shows that each "bin" or range of numbers has a roughly equal frequency.</t>
  </si>
  <si>
    <t>While there will be some natural variation because the sample size is only 100, the bars should be approximately the same height across the entire range from 0 to 1.</t>
  </si>
  <si>
    <t>3. A dataset has a mean of 50 and a standard deviation of 5. What percentage of values lie between 45 and 55 if the data follows a normal distribution?</t>
  </si>
  <si>
    <t>Mean μ=50</t>
  </si>
  <si>
    <t>Standard deviation σ=5</t>
  </si>
  <si>
    <t>Lower limit = 45 = μ−1σ</t>
  </si>
  <si>
    <t>Upper limit = 55 = μ+1σ</t>
  </si>
  <si>
    <t>So, we are finding the percentage of values within ±1 standard deviation from the mean.</t>
  </si>
  <si>
    <t>About 68% of the data lies within 1 standard deviation of the mean.</t>
  </si>
  <si>
    <t>Approximately 68% of the values lie between 45 and 55.</t>
  </si>
  <si>
    <t xml:space="preserve">4. What is the concept of standardization (z-score), and why is it important in data analysis? Explain the formula and how standardization transforms a dataset. </t>
  </si>
  <si>
    <t>Standardization, also called z-score normalization, is the process of converting data values into a common scale by measuring how many standard deviations from the mean.</t>
  </si>
  <si>
    <t xml:space="preserve"> a value is away</t>
  </si>
  <si>
    <t>Formula =</t>
  </si>
  <si>
    <t>Z=X-μ​/σ</t>
  </si>
  <si>
    <t>X = original value</t>
  </si>
  <si>
    <t>μ = mean of the dataset</t>
  </si>
  <si>
    <t>σ = standard deviation</t>
  </si>
  <si>
    <t>Why Standardization is Important</t>
  </si>
  <si>
    <t>How It Transforms Data</t>
  </si>
  <si>
    <t>Allows comparison of data from different scales</t>
  </si>
  <si>
    <r>
      <rPr>
        <sz val="14"/>
        <color rgb="FF000000"/>
        <rFont val="Calibri,Arial"/>
      </rPr>
      <t xml:space="preserve">Mean becomes </t>
    </r>
    <r>
      <rPr>
        <b/>
        <sz val="14"/>
        <color theme="1"/>
        <rFont val="Calibri"/>
      </rPr>
      <t>0</t>
    </r>
  </si>
  <si>
    <t>Helps identify outliers</t>
  </si>
  <si>
    <r>
      <rPr>
        <sz val="14"/>
        <color rgb="FF000000"/>
        <rFont val="Calibri,Arial"/>
      </rPr>
      <t xml:space="preserve">Standard deviation becomes </t>
    </r>
    <r>
      <rPr>
        <b/>
        <sz val="14"/>
        <color theme="1"/>
        <rFont val="Calibri"/>
      </rPr>
      <t>1</t>
    </r>
  </si>
  <si>
    <t>Improves performance of machine learning algorithms</t>
  </si>
  <si>
    <r>
      <rPr>
        <sz val="14"/>
        <color rgb="FF000000"/>
        <rFont val="Calibri,Arial"/>
      </rPr>
      <t xml:space="preserve">Shape of the distribution </t>
    </r>
    <r>
      <rPr>
        <b/>
        <sz val="14"/>
        <color theme="1"/>
        <rFont val="Calibri"/>
      </rPr>
      <t>remains the same</t>
    </r>
  </si>
  <si>
    <t>Makes data dimensionless</t>
  </si>
  <si>
    <t>Standardization converts data into z-scores so values can be compared fairly, analyzed efficiently, and used effectively in statistical and machine-learning models.</t>
  </si>
  <si>
    <t>5. What is Kurtosis and their type?</t>
  </si>
  <si>
    <t>Kurtosis is a statistical measure that describes the peakedness or flatness of a distribution compared to a normal distribution.</t>
  </si>
  <si>
    <t>Types of Kurtosis</t>
  </si>
  <si>
    <t>1. Mesokurtic</t>
  </si>
  <si>
    <t>Kurtosis ≈ 3</t>
  </si>
  <si>
    <t>Similar to normal distribution</t>
  </si>
  <si>
    <t>Moderate peak and tails</t>
  </si>
  <si>
    <t>2. Leptokurtic</t>
  </si>
  <si>
    <t>Kurtosis &gt; 3</t>
  </si>
  <si>
    <t>High peak and heavy tails</t>
  </si>
  <si>
    <t>More extreme values (outliers)</t>
  </si>
  <si>
    <t>3. Platykurtic</t>
  </si>
  <si>
    <t>Kurtosis &lt; 3</t>
  </si>
  <si>
    <t>Flat peak and light tails</t>
  </si>
  <si>
    <t>Fewer extreme values</t>
  </si>
  <si>
    <t>6. Explain why the uniform distribution is a good model for the outcome of rolling a fair die</t>
  </si>
  <si>
    <t>A uniform distribution is a probability distribution in which all outcomes are equally likely.</t>
  </si>
  <si>
    <t>When rolling a fair die, the possible outcomes are {1, 2, 3, 4, 5, 6}. Since the die is fair:</t>
  </si>
  <si>
    <t>Each face has an equal chance of occurring</t>
  </si>
  <si>
    <t>Probability of each outcome is 1\6</t>
  </si>
  <si>
    <t>Because all outcomes have the same probability, the uniform distribution accurately represents the behavior of a fair die.</t>
  </si>
  <si>
    <t>The uniform distribution is a good model for rolling a fair die because each outcome from 1 to 6 has an equal probability of occurring, satisfying the key property of a uniform distribution.</t>
  </si>
  <si>
    <t>7. Use Excel to compute the probability of getting at least 8 successes in 15 trials with success probability 0.5</t>
  </si>
  <si>
    <r>
      <rPr>
        <sz val="14"/>
        <color rgb="FF000000"/>
        <rFont val="Calibri,Arial"/>
      </rPr>
      <t xml:space="preserve">This follows a </t>
    </r>
    <r>
      <rPr>
        <b/>
        <sz val="14"/>
        <color theme="1"/>
        <rFont val="Calibri"/>
      </rPr>
      <t>binomial distribution</t>
    </r>
    <r>
      <rPr>
        <sz val="14"/>
        <color theme="1"/>
        <rFont val="Calibri"/>
      </rPr>
      <t xml:space="preserve"> because:</t>
    </r>
  </si>
  <si>
    <t>Number of trials n=15</t>
  </si>
  <si>
    <t>Probability of success p=0.5</t>
  </si>
  <si>
    <t>We want at least 8 successes → P(X≥8)</t>
  </si>
  <si>
    <t xml:space="preserve">Formula= </t>
  </si>
  <si>
    <t>1 -BINOM.DIST(7,15,0.5,TRUE) calculates P(X≤7).</t>
  </si>
  <si>
    <t>Explanation of the Components:</t>
  </si>
  <si>
    <r>
      <rPr>
        <b/>
        <sz val="14"/>
        <color rgb="FF000000"/>
        <rFont val="Calibri,Arial"/>
      </rPr>
      <t xml:space="preserve">1 - </t>
    </r>
    <r>
      <rPr>
        <sz val="14"/>
        <color theme="1"/>
        <rFont val="Calibri"/>
      </rPr>
      <t>: This subtracts the cumulative probability of 0 through 7 from the total probability of 1, leaving you with the probability of 8 or more.</t>
    </r>
  </si>
  <si>
    <r>
      <rPr>
        <b/>
        <sz val="14"/>
        <color rgb="FF000000"/>
        <rFont val="Calibri,Arial"/>
      </rPr>
      <t>7</t>
    </r>
    <r>
      <rPr>
        <sz val="14"/>
        <color theme="1"/>
        <rFont val="Calibri"/>
      </rPr>
      <t>: This is the "number_s" (number of successes). We use 7 because we want to exclude everything from 0 to 7 to find the probability for 8 and above.</t>
    </r>
  </si>
  <si>
    <r>
      <rPr>
        <b/>
        <sz val="14"/>
        <color rgb="FF000000"/>
        <rFont val="Calibri,Arial"/>
      </rPr>
      <t>15</t>
    </r>
    <r>
      <rPr>
        <sz val="14"/>
        <color theme="1"/>
        <rFont val="Calibri"/>
      </rPr>
      <t>: The total number of trials.</t>
    </r>
  </si>
  <si>
    <r>
      <rPr>
        <b/>
        <sz val="14"/>
        <color rgb="FF000000"/>
        <rFont val="Calibri,Arial"/>
      </rPr>
      <t>0.5</t>
    </r>
    <r>
      <rPr>
        <sz val="14"/>
        <color theme="1"/>
        <rFont val="Calibri"/>
      </rPr>
      <t>: The probability of success in each individual trial.</t>
    </r>
  </si>
  <si>
    <r>
      <rPr>
        <b/>
        <sz val="14"/>
        <color theme="1"/>
        <rFont val="Calibri"/>
      </rPr>
      <t>TRUE</t>
    </r>
    <r>
      <rPr>
        <b/>
        <sz val="14"/>
        <color theme="1"/>
        <rFont val="Calibri"/>
      </rPr>
      <t>: This tells Excel to use the Cumulative Distribution Function, which adds up the probabilities for all results from 0 to 7.</t>
    </r>
  </si>
  <si>
    <r>
      <rPr>
        <sz val="14"/>
        <color rgb="FF000000"/>
        <rFont val="Calibri,Arial"/>
      </rPr>
      <t xml:space="preserve">The probability of getting at least 8 successes is </t>
    </r>
    <r>
      <rPr>
        <b/>
        <sz val="14"/>
        <color theme="1"/>
        <rFont val="Calibri"/>
      </rPr>
      <t>0.5000</t>
    </r>
    <r>
      <rPr>
        <sz val="14"/>
        <color theme="1"/>
        <rFont val="Calibri"/>
      </rPr>
      <t xml:space="preserve"> (or exactly </t>
    </r>
    <r>
      <rPr>
        <b/>
        <sz val="14"/>
        <color theme="1"/>
        <rFont val="Calibri"/>
      </rPr>
      <t>50%</t>
    </r>
    <r>
      <rPr>
        <sz val="14"/>
        <color theme="1"/>
        <rFont val="Calibri"/>
      </rPr>
      <t>).</t>
    </r>
  </si>
  <si>
    <t>8. How does log transformation help in stabilizing variance and making data more normally distributed?</t>
  </si>
  <si>
    <t>Log transformation is a data transformation technique used to reduce skewness and stabilize variance in a dataset.</t>
  </si>
  <si>
    <t>How It Helps</t>
  </si>
  <si>
    <t>Compresses large values more than small values</t>
  </si>
  <si>
    <t>Reduces right skewness in data</t>
  </si>
  <si>
    <t>Makes the distribution closer to normal</t>
  </si>
  <si>
    <t>Stabilizes variance when variability increases with magnitude.</t>
  </si>
  <si>
    <t>Why It Is Useful</t>
  </si>
  <si>
    <t>Improves results of statistical tests</t>
  </si>
  <si>
    <t>Enhances performance of regression and ML models</t>
  </si>
  <si>
    <t>Reduces the impact of outliers</t>
  </si>
  <si>
    <t>Log transformation stabilizes variance and reduces skewness by scaling down large values, thereby making the data more symmetric and closer to a normal distribution.</t>
  </si>
  <si>
    <t>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</si>
</sst>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\✔\ @"/>
  </numFmts>
  <fonts count="11">
    <font>
      <sz val="10"/>
      <color rgb="FF000000"/>
      <name val="Arial"/>
      <scheme val="minor"/>
    </font>
    <font>
      <b/>
      <sz val="14"/>
      <color theme="1"/>
      <name val="Calibri"/>
    </font>
    <font>
      <sz val="11"/>
      <color theme="1"/>
      <name val="Arial"/>
    </font>
    <font>
      <sz val="10"/>
      <color theme="1"/>
      <name val="Arial"/>
      <scheme val="minor"/>
    </font>
    <font>
      <sz val="14"/>
      <color theme="1"/>
      <name val="Calibri"/>
    </font>
    <font>
      <sz val="14"/>
      <color rgb="FF000000"/>
      <name val="Calibri"/>
    </font>
    <font>
      <sz val="11"/>
      <color theme="1"/>
      <name val="Calibri"/>
    </font>
    <font>
      <sz val="12"/>
      <color theme="1"/>
      <name val="Calibri"/>
    </font>
    <font>
      <b/>
      <sz val="14"/>
      <color rgb="FF000000"/>
      <name val="Calibri"/>
    </font>
    <font>
      <sz val="14"/>
      <color rgb="FF000000"/>
      <name val="Calibri,Arial"/>
    </font>
    <font>
      <b/>
      <sz val="14"/>
      <color rgb="FF000000"/>
      <name val="Calibri,Arial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CC2E5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2" fillId="0" borderId="0" xfId="0" applyFont="1"/>
    <xf numFmtId="0" fontId="4" fillId="3" borderId="0" xfId="0" applyFont="1" applyFill="1"/>
    <xf numFmtId="0" fontId="2" fillId="3" borderId="0" xfId="0" applyFont="1" applyFill="1"/>
    <xf numFmtId="0" fontId="1" fillId="3" borderId="0" xfId="0" applyFont="1" applyFill="1"/>
    <xf numFmtId="165" fontId="4" fillId="3" borderId="0" xfId="0" applyNumberFormat="1" applyFont="1" applyFill="1"/>
    <xf numFmtId="165" fontId="2" fillId="3" borderId="0" xfId="0" applyNumberFormat="1" applyFont="1" applyFill="1"/>
    <xf numFmtId="0" fontId="0" fillId="3" borderId="0" xfId="0" applyFill="1"/>
    <xf numFmtId="0" fontId="2" fillId="3" borderId="1" xfId="0" applyFont="1" applyFill="1" applyBorder="1"/>
    <xf numFmtId="0" fontId="6" fillId="3" borderId="2" xfId="0" applyFont="1" applyFill="1" applyBorder="1" applyAlignment="1">
      <alignment horizontal="right"/>
    </xf>
    <xf numFmtId="0" fontId="7" fillId="3" borderId="0" xfId="0" applyFont="1" applyFill="1"/>
    <xf numFmtId="165" fontId="7" fillId="3" borderId="0" xfId="0" applyNumberFormat="1" applyFont="1" applyFill="1"/>
    <xf numFmtId="0" fontId="4" fillId="4" borderId="0" xfId="0" applyFont="1" applyFill="1"/>
    <xf numFmtId="0" fontId="2" fillId="4" borderId="0" xfId="0" applyFont="1" applyFill="1"/>
    <xf numFmtId="165" fontId="5" fillId="3" borderId="0" xfId="0" applyNumberFormat="1" applyFont="1" applyFill="1"/>
    <xf numFmtId="0" fontId="5" fillId="3" borderId="0" xfId="0" applyFont="1" applyFill="1"/>
    <xf numFmtId="164" fontId="4" fillId="4" borderId="0" xfId="0" applyNumberFormat="1" applyFont="1" applyFill="1" applyAlignment="1">
      <alignment horizontal="right"/>
    </xf>
    <xf numFmtId="0" fontId="8" fillId="3" borderId="0" xfId="0" applyFont="1" applyFill="1"/>
    <xf numFmtId="0" fontId="5" fillId="4" borderId="0" xfId="0" applyFont="1" applyFill="1"/>
    <xf numFmtId="164" fontId="1" fillId="4" borderId="0" xfId="0" applyNumberFormat="1" applyFont="1" applyFill="1" applyAlignment="1">
      <alignment horizontal="right"/>
    </xf>
    <xf numFmtId="0" fontId="4" fillId="4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C6D78B8C-D253-43C6-B3DD-FE48FFC8E97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352424</xdr:colOff>
      <xdr:row>4</xdr:row>
      <xdr:rowOff>76200</xdr:rowOff>
    </xdr:from>
    <xdr:to>
      <xdr:col>7</xdr:col>
      <xdr:colOff>628649</xdr:colOff>
      <xdr:row>18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4E3C942-6657-AB63-0045-034FAAED19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7724" y="838200"/>
              <a:ext cx="46894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I9" sqref="I9"/>
    </sheetView>
  </sheetViews>
  <sheetFormatPr defaultColWidth="12.6328125" defaultRowHeight="15" customHeight="1"/>
  <cols>
    <col min="1" max="26" width="14.36328125" customWidth="1"/>
  </cols>
  <sheetData>
    <row r="1" spans="1:26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/>
    <row r="3" spans="1:26" ht="15.75" customHeight="1">
      <c r="A3" s="4" t="s">
        <v>89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26" ht="15.75" customHeight="1">
      <c r="A4" s="19" t="s">
        <v>1</v>
      </c>
      <c r="B4" s="7"/>
      <c r="C4" s="7"/>
      <c r="D4" s="7"/>
      <c r="E4" s="7"/>
      <c r="F4" s="7"/>
      <c r="G4" s="7"/>
      <c r="H4" s="5"/>
      <c r="I4" s="5"/>
      <c r="J4" s="5"/>
      <c r="K4" s="5"/>
      <c r="L4" s="5"/>
      <c r="M4" s="5"/>
    </row>
    <row r="5" spans="1:26" ht="15.75" customHeight="1">
      <c r="A5" s="7"/>
      <c r="B5" s="7"/>
      <c r="C5" s="7"/>
      <c r="D5" s="7"/>
      <c r="E5" s="7"/>
      <c r="F5" s="7"/>
      <c r="G5" s="7"/>
      <c r="H5" s="5"/>
      <c r="I5" s="5"/>
      <c r="J5" s="5"/>
      <c r="K5" s="5"/>
      <c r="L5" s="5"/>
      <c r="M5" s="5"/>
    </row>
    <row r="6" spans="1:26" ht="15.75" customHeight="1">
      <c r="A6" s="6" t="s">
        <v>2</v>
      </c>
      <c r="B6" s="7"/>
      <c r="C6" s="7"/>
      <c r="D6" s="7"/>
      <c r="E6" s="7"/>
      <c r="F6" s="7"/>
      <c r="G6" s="7"/>
      <c r="H6" s="5"/>
      <c r="I6" s="5"/>
      <c r="J6" s="5"/>
      <c r="K6" s="5"/>
      <c r="L6" s="5"/>
      <c r="M6" s="5"/>
    </row>
    <row r="7" spans="1:26" ht="15.75" customHeight="1">
      <c r="A7" s="7"/>
      <c r="B7" s="7"/>
      <c r="C7" s="7"/>
      <c r="D7" s="7"/>
      <c r="E7" s="7"/>
      <c r="F7" s="7"/>
      <c r="G7" s="7"/>
      <c r="H7" s="5"/>
      <c r="I7" s="5"/>
      <c r="J7" s="5"/>
      <c r="K7" s="5"/>
      <c r="L7" s="5"/>
      <c r="M7" s="5"/>
    </row>
    <row r="8" spans="1:26" ht="15.75" customHeight="1">
      <c r="A8" s="6" t="s">
        <v>3</v>
      </c>
      <c r="B8" s="7"/>
      <c r="C8" s="7"/>
      <c r="D8" s="7"/>
      <c r="E8" s="7"/>
      <c r="F8" s="7"/>
      <c r="G8" s="7"/>
      <c r="H8" s="5"/>
      <c r="I8" s="5"/>
      <c r="J8" s="5"/>
      <c r="K8" s="5"/>
      <c r="L8" s="5"/>
      <c r="M8" s="5"/>
    </row>
    <row r="9" spans="1:26" ht="15.75" customHeight="1">
      <c r="A9" s="7"/>
      <c r="B9" s="7"/>
      <c r="C9" s="7"/>
      <c r="D9" s="7"/>
      <c r="E9" s="7"/>
      <c r="F9" s="7"/>
      <c r="G9" s="7"/>
      <c r="H9" s="5"/>
      <c r="I9" s="5"/>
      <c r="J9" s="5"/>
      <c r="K9" s="5"/>
      <c r="L9" s="5"/>
      <c r="M9" s="5"/>
    </row>
    <row r="10" spans="1:26" ht="15.75" customHeight="1">
      <c r="A10" s="6" t="s">
        <v>4</v>
      </c>
      <c r="B10" s="7"/>
      <c r="C10" s="7"/>
      <c r="D10" s="7"/>
      <c r="E10" s="7"/>
      <c r="F10" s="7"/>
      <c r="G10" s="7"/>
      <c r="H10" s="5"/>
      <c r="I10" s="5"/>
      <c r="J10" s="5"/>
      <c r="K10" s="5"/>
      <c r="L10" s="5"/>
      <c r="M10" s="5"/>
    </row>
    <row r="11" spans="1:26" ht="15.75" customHeight="1">
      <c r="A11" s="7"/>
      <c r="B11" s="7"/>
      <c r="C11" s="7"/>
      <c r="D11" s="7"/>
      <c r="E11" s="7"/>
      <c r="F11" s="7"/>
      <c r="G11" s="7"/>
      <c r="H11" s="5"/>
      <c r="I11" s="5"/>
      <c r="J11" s="5"/>
      <c r="K11" s="5"/>
      <c r="L11" s="5"/>
      <c r="M11" s="5"/>
    </row>
    <row r="12" spans="1:26" ht="15.75" customHeight="1">
      <c r="A12" s="6" t="s">
        <v>5</v>
      </c>
      <c r="B12" s="7"/>
      <c r="C12" s="7"/>
      <c r="D12" s="7"/>
      <c r="E12" s="7"/>
      <c r="F12" s="7"/>
      <c r="G12" s="7"/>
      <c r="H12" s="5"/>
      <c r="I12" s="5"/>
      <c r="J12" s="5"/>
      <c r="K12" s="5"/>
      <c r="L12" s="5"/>
      <c r="M12" s="5"/>
    </row>
    <row r="13" spans="1:26" ht="15.75" customHeight="1">
      <c r="A13" s="7"/>
      <c r="B13" s="7"/>
      <c r="C13" s="7"/>
      <c r="D13" s="7"/>
      <c r="E13" s="7"/>
      <c r="F13" s="7"/>
      <c r="G13" s="7"/>
      <c r="H13" s="5"/>
      <c r="I13" s="5"/>
      <c r="J13" s="5"/>
      <c r="K13" s="5"/>
      <c r="L13" s="5"/>
      <c r="M13" s="5"/>
    </row>
    <row r="14" spans="1:26" ht="15.75" customHeight="1">
      <c r="A14" s="7"/>
      <c r="B14" s="23">
        <f>_xlfn.BINOM.DIST(5, 30, 1/6, FALSE)</f>
        <v>0.19210813105163416</v>
      </c>
      <c r="C14" s="7"/>
      <c r="D14" s="7"/>
      <c r="E14" s="7"/>
      <c r="F14" s="7"/>
      <c r="G14" s="7"/>
      <c r="H14" s="5"/>
      <c r="I14" s="5"/>
      <c r="J14" s="5"/>
      <c r="K14" s="5"/>
      <c r="L14" s="5"/>
      <c r="M14" s="5"/>
    </row>
    <row r="15" spans="1:26" ht="15.75" customHeight="1">
      <c r="A15" s="7"/>
      <c r="B15" s="7"/>
      <c r="C15" s="7"/>
      <c r="D15" s="7"/>
      <c r="E15" s="7"/>
      <c r="F15" s="7"/>
      <c r="G15" s="7"/>
      <c r="H15" s="5"/>
      <c r="I15" s="5"/>
      <c r="J15" s="5"/>
      <c r="K15" s="5"/>
      <c r="L15" s="5"/>
      <c r="M15" s="5"/>
    </row>
    <row r="16" spans="1:26" ht="15.75" customHeight="1">
      <c r="A16" s="24" t="s">
        <v>6</v>
      </c>
      <c r="B16" s="25"/>
      <c r="C16" s="25"/>
      <c r="D16" s="7"/>
      <c r="E16" s="7"/>
      <c r="F16" s="7"/>
      <c r="G16" s="7"/>
      <c r="H16" s="5"/>
      <c r="I16" s="5"/>
      <c r="J16" s="5"/>
      <c r="K16" s="5"/>
      <c r="L16" s="5"/>
      <c r="M16" s="5"/>
    </row>
    <row r="17" spans="1:13" ht="15.75" customHeight="1">
      <c r="A17" s="7"/>
      <c r="B17" s="7"/>
      <c r="C17" s="7"/>
      <c r="D17" s="7"/>
      <c r="E17" s="7"/>
      <c r="F17" s="7"/>
      <c r="G17" s="7"/>
      <c r="H17" s="5"/>
      <c r="I17" s="5"/>
      <c r="J17" s="5"/>
      <c r="K17" s="5"/>
      <c r="L17" s="5"/>
      <c r="M17" s="5"/>
    </row>
    <row r="18" spans="1:13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15.75" customHeight="1"/>
    <row r="21" spans="1:13" ht="15.75" customHeight="1"/>
    <row r="22" spans="1:13" ht="15.75" customHeight="1"/>
    <row r="23" spans="1:13" ht="15.75" customHeight="1"/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12"/>
  <sheetViews>
    <sheetView workbookViewId="0">
      <selection activeCell="C14" sqref="C14"/>
    </sheetView>
  </sheetViews>
  <sheetFormatPr defaultColWidth="12.6328125" defaultRowHeight="15" customHeight="1"/>
  <sheetData>
    <row r="1" spans="1:26" ht="15" customHeight="1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  <c r="Z1" s="3"/>
    </row>
    <row r="2" spans="1:26" ht="15" customHeight="1">
      <c r="A2" t="s">
        <v>89</v>
      </c>
    </row>
    <row r="3" spans="1:26">
      <c r="A3" s="12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5"/>
      <c r="P3" s="5"/>
      <c r="Q3" s="5"/>
      <c r="R3" s="5"/>
      <c r="S3" s="5"/>
    </row>
    <row r="4" spans="1:26" ht="15" customHeight="1">
      <c r="A4" s="13">
        <f t="shared" ref="A4:A97" ca="1" si="0">RAND()</f>
        <v>0.42657328332241695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5"/>
      <c r="P4" s="5"/>
      <c r="Q4" s="5"/>
      <c r="R4" s="5"/>
      <c r="S4" s="5"/>
    </row>
    <row r="5" spans="1:26" ht="15" customHeight="1">
      <c r="A5" s="13">
        <f t="shared" ca="1" si="0"/>
        <v>0.72988354051904392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5"/>
      <c r="P5" s="5"/>
      <c r="Q5" s="5"/>
      <c r="R5" s="5"/>
      <c r="S5" s="5"/>
    </row>
    <row r="6" spans="1:26" ht="15" customHeight="1">
      <c r="A6" s="13">
        <f t="shared" ca="1" si="0"/>
        <v>3.8871792981743924E-3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5"/>
      <c r="P6" s="5"/>
      <c r="Q6" s="5"/>
      <c r="R6" s="5"/>
      <c r="S6" s="5"/>
    </row>
    <row r="7" spans="1:26" ht="15" customHeight="1">
      <c r="A7" s="13">
        <f t="shared" ca="1" si="0"/>
        <v>0.24611286482328454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5"/>
      <c r="P7" s="5"/>
      <c r="Q7" s="5"/>
      <c r="R7" s="5"/>
      <c r="S7" s="5"/>
    </row>
    <row r="8" spans="1:26" ht="15" customHeight="1">
      <c r="A8" s="13">
        <f t="shared" ca="1" si="0"/>
        <v>0.25225540934527579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5"/>
      <c r="P8" s="5"/>
      <c r="Q8" s="5"/>
      <c r="R8" s="5"/>
      <c r="S8" s="5"/>
    </row>
    <row r="9" spans="1:26" ht="15" customHeight="1">
      <c r="A9" s="13">
        <f t="shared" ca="1" si="0"/>
        <v>0.52114761514743024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5"/>
      <c r="P9" s="5"/>
      <c r="Q9" s="5"/>
      <c r="R9" s="5"/>
      <c r="S9" s="5"/>
    </row>
    <row r="10" spans="1:26" ht="15" customHeight="1">
      <c r="A10" s="13">
        <f t="shared" ca="1" si="0"/>
        <v>0.66884611443743591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5"/>
      <c r="P10" s="5"/>
      <c r="Q10" s="5"/>
      <c r="R10" s="5"/>
      <c r="S10" s="5"/>
    </row>
    <row r="11" spans="1:26" ht="15" customHeight="1">
      <c r="A11" s="13">
        <f t="shared" ca="1" si="0"/>
        <v>0.65054150626792229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5"/>
      <c r="P11" s="5"/>
      <c r="Q11" s="5"/>
      <c r="R11" s="5"/>
      <c r="S11" s="5"/>
    </row>
    <row r="12" spans="1:26" ht="15" customHeight="1">
      <c r="A12" s="13">
        <f t="shared" ca="1" si="0"/>
        <v>0.88141898996162082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5"/>
      <c r="P12" s="5"/>
      <c r="Q12" s="5"/>
      <c r="R12" s="5"/>
      <c r="S12" s="5"/>
    </row>
    <row r="13" spans="1:26" ht="15" customHeight="1">
      <c r="A13" s="13">
        <f t="shared" ca="1" si="0"/>
        <v>0.15024630069612255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5"/>
      <c r="P13" s="5"/>
      <c r="Q13" s="5"/>
      <c r="R13" s="5"/>
      <c r="S13" s="5"/>
    </row>
    <row r="14" spans="1:26" ht="15" customHeight="1">
      <c r="A14" s="13">
        <f t="shared" ca="1" si="0"/>
        <v>0.71891623082157041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5"/>
      <c r="P14" s="5"/>
      <c r="Q14" s="5"/>
      <c r="R14" s="5"/>
      <c r="S14" s="5"/>
    </row>
    <row r="15" spans="1:26" ht="15" customHeight="1">
      <c r="A15" s="13">
        <f t="shared" ca="1" si="0"/>
        <v>0.73746703517524059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5"/>
      <c r="P15" s="5"/>
      <c r="Q15" s="5"/>
      <c r="R15" s="5"/>
      <c r="S15" s="5"/>
    </row>
    <row r="16" spans="1:26" ht="15" customHeight="1">
      <c r="A16" s="13">
        <f t="shared" ca="1" si="0"/>
        <v>0.38557618334800159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5"/>
      <c r="P16" s="5"/>
      <c r="Q16" s="5"/>
      <c r="R16" s="5"/>
      <c r="S16" s="5"/>
    </row>
    <row r="17" spans="1:19" ht="15" customHeight="1">
      <c r="A17" s="13">
        <f t="shared" ca="1" si="0"/>
        <v>0.57763968891391393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5"/>
      <c r="P17" s="5"/>
      <c r="Q17" s="5"/>
      <c r="R17" s="5"/>
      <c r="S17" s="5"/>
    </row>
    <row r="18" spans="1:19" ht="15" customHeight="1">
      <c r="A18" s="13">
        <f t="shared" ca="1" si="0"/>
        <v>0.15701842641858466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5"/>
      <c r="P18" s="5"/>
      <c r="Q18" s="5"/>
      <c r="R18" s="5"/>
      <c r="S18" s="5"/>
    </row>
    <row r="19" spans="1:19" ht="15" customHeight="1">
      <c r="A19" s="13">
        <f t="shared" ca="1" si="0"/>
        <v>0.5409390345289693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5"/>
      <c r="P19" s="5"/>
      <c r="Q19" s="5"/>
      <c r="R19" s="5"/>
      <c r="S19" s="5"/>
    </row>
    <row r="20" spans="1:19" ht="15" customHeight="1">
      <c r="A20" s="13">
        <f t="shared" ca="1" si="0"/>
        <v>0.31654081370246356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5"/>
      <c r="P20" s="5"/>
      <c r="Q20" s="5"/>
      <c r="R20" s="5"/>
      <c r="S20" s="5"/>
    </row>
    <row r="21" spans="1:19" ht="14.5">
      <c r="A21" s="13">
        <f t="shared" ca="1" si="0"/>
        <v>0.83964707667742189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5"/>
      <c r="P21" s="5"/>
      <c r="Q21" s="5"/>
      <c r="R21" s="5"/>
      <c r="S21" s="5"/>
    </row>
    <row r="22" spans="1:19" ht="14.5">
      <c r="A22" s="13">
        <f t="shared" ca="1" si="0"/>
        <v>0.14660543660166958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5"/>
      <c r="P22" s="5"/>
      <c r="Q22" s="5"/>
      <c r="R22" s="5"/>
      <c r="S22" s="5"/>
    </row>
    <row r="23" spans="1:19" ht="14.5">
      <c r="A23" s="13">
        <f t="shared" ca="1" si="0"/>
        <v>0.11973044311715997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5"/>
      <c r="P23" s="5"/>
      <c r="Q23" s="5"/>
      <c r="R23" s="5"/>
      <c r="S23" s="5"/>
    </row>
    <row r="24" spans="1:19" ht="14.5">
      <c r="A24" s="13">
        <f t="shared" ca="1" si="0"/>
        <v>0.44428908629337838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5"/>
      <c r="P24" s="5"/>
      <c r="Q24" s="5"/>
      <c r="R24" s="5"/>
      <c r="S24" s="5"/>
    </row>
    <row r="25" spans="1:19" ht="14.5">
      <c r="A25" s="13">
        <f t="shared" ca="1" si="0"/>
        <v>0.48578914753314328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5"/>
      <c r="P25" s="5"/>
      <c r="Q25" s="5"/>
      <c r="R25" s="5"/>
      <c r="S25" s="5"/>
    </row>
    <row r="26" spans="1:19" ht="14.5">
      <c r="A26" s="13">
        <f t="shared" ca="1" si="0"/>
        <v>0.23000619212891149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5"/>
      <c r="P26" s="5"/>
      <c r="Q26" s="5"/>
      <c r="R26" s="5"/>
      <c r="S26" s="5"/>
    </row>
    <row r="27" spans="1:19" ht="14.5">
      <c r="A27" s="13">
        <f t="shared" ca="1" si="0"/>
        <v>0.48021004466343631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5"/>
      <c r="P27" s="5"/>
      <c r="Q27" s="5"/>
      <c r="R27" s="5"/>
      <c r="S27" s="5"/>
    </row>
    <row r="28" spans="1:19" ht="14.5">
      <c r="A28" s="13">
        <f t="shared" ca="1" si="0"/>
        <v>0.15180511718093503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5"/>
      <c r="P28" s="5"/>
      <c r="Q28" s="5"/>
      <c r="R28" s="5"/>
      <c r="S28" s="5"/>
    </row>
    <row r="29" spans="1:19" ht="14.5">
      <c r="A29" s="13">
        <f t="shared" ca="1" si="0"/>
        <v>0.39807538293023936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5"/>
      <c r="P29" s="5"/>
      <c r="Q29" s="5"/>
      <c r="R29" s="5"/>
      <c r="S29" s="5"/>
    </row>
    <row r="30" spans="1:19" ht="14.5">
      <c r="A30" s="13">
        <f t="shared" ca="1" si="0"/>
        <v>0.42978521181397134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5"/>
      <c r="P30" s="5"/>
      <c r="Q30" s="5"/>
      <c r="R30" s="5"/>
      <c r="S30" s="5"/>
    </row>
    <row r="31" spans="1:19" ht="14.5">
      <c r="A31" s="13">
        <f t="shared" ca="1" si="0"/>
        <v>0.97214217107321255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5"/>
      <c r="P31" s="5"/>
      <c r="Q31" s="5"/>
      <c r="R31" s="5"/>
      <c r="S31" s="5"/>
    </row>
    <row r="32" spans="1:19" ht="14.5">
      <c r="A32" s="13">
        <f t="shared" ca="1" si="0"/>
        <v>0.73012257480052634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5"/>
      <c r="P32" s="5"/>
      <c r="Q32" s="5"/>
      <c r="R32" s="5"/>
      <c r="S32" s="5"/>
    </row>
    <row r="33" spans="1:19" ht="14.5">
      <c r="A33" s="13">
        <f t="shared" ca="1" si="0"/>
        <v>0.8549686186339891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5"/>
      <c r="P33" s="5"/>
      <c r="Q33" s="5"/>
      <c r="R33" s="5"/>
      <c r="S33" s="5"/>
    </row>
    <row r="34" spans="1:19" ht="14.5">
      <c r="A34" s="13">
        <f t="shared" ca="1" si="0"/>
        <v>0.95788400702903975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"/>
      <c r="P34" s="5"/>
      <c r="Q34" s="5"/>
      <c r="R34" s="5"/>
      <c r="S34" s="5"/>
    </row>
    <row r="35" spans="1:19" ht="14.5">
      <c r="A35" s="13">
        <f t="shared" ca="1" si="0"/>
        <v>0.28361427786784588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5"/>
      <c r="P35" s="5"/>
      <c r="Q35" s="5"/>
      <c r="R35" s="5"/>
      <c r="S35" s="5"/>
    </row>
    <row r="36" spans="1:19" ht="14.5">
      <c r="A36" s="13">
        <f t="shared" ca="1" si="0"/>
        <v>0.38571657477378729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5"/>
      <c r="P36" s="5"/>
      <c r="Q36" s="5"/>
      <c r="R36" s="5"/>
      <c r="S36" s="5"/>
    </row>
    <row r="37" spans="1:19" ht="14.5">
      <c r="A37" s="13">
        <f t="shared" ca="1" si="0"/>
        <v>0.68465374767430265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5"/>
      <c r="P37" s="5"/>
      <c r="Q37" s="5"/>
      <c r="R37" s="5"/>
      <c r="S37" s="5"/>
    </row>
    <row r="38" spans="1:19" ht="14.5">
      <c r="A38" s="13">
        <f t="shared" ca="1" si="0"/>
        <v>0.61493804798823914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5"/>
      <c r="P38" s="5"/>
      <c r="Q38" s="5"/>
      <c r="R38" s="5"/>
      <c r="S38" s="5"/>
    </row>
    <row r="39" spans="1:19" ht="14.5">
      <c r="A39" s="13">
        <f t="shared" ca="1" si="0"/>
        <v>0.31814734710333048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5"/>
      <c r="P39" s="5"/>
      <c r="Q39" s="5"/>
      <c r="R39" s="5"/>
      <c r="S39" s="5"/>
    </row>
    <row r="40" spans="1:19" ht="14.5">
      <c r="A40" s="13">
        <f t="shared" ca="1" si="0"/>
        <v>0.1839386907225099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5"/>
      <c r="P40" s="5"/>
      <c r="Q40" s="5"/>
      <c r="R40" s="5"/>
      <c r="S40" s="5"/>
    </row>
    <row r="41" spans="1:19" ht="14.5">
      <c r="A41" s="13">
        <f t="shared" ca="1" si="0"/>
        <v>0.39675890492351806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5"/>
      <c r="P41" s="5"/>
      <c r="Q41" s="5"/>
      <c r="R41" s="5"/>
      <c r="S41" s="5"/>
    </row>
    <row r="42" spans="1:19" ht="14.5">
      <c r="A42" s="13">
        <f t="shared" ca="1" si="0"/>
        <v>0.23295386755115399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5"/>
      <c r="P42" s="5"/>
      <c r="Q42" s="5"/>
      <c r="R42" s="5"/>
      <c r="S42" s="5"/>
    </row>
    <row r="43" spans="1:19" ht="14.5">
      <c r="A43" s="13">
        <f t="shared" ca="1" si="0"/>
        <v>0.38957392636483135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5"/>
      <c r="P43" s="5"/>
      <c r="Q43" s="5"/>
      <c r="R43" s="5"/>
      <c r="S43" s="5"/>
    </row>
    <row r="44" spans="1:19" ht="14.5">
      <c r="A44" s="13">
        <f t="shared" ca="1" si="0"/>
        <v>0.99544620520285443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5"/>
      <c r="P44" s="5"/>
      <c r="Q44" s="5"/>
      <c r="R44" s="5"/>
      <c r="S44" s="5"/>
    </row>
    <row r="45" spans="1:19" ht="14.5">
      <c r="A45" s="13">
        <f t="shared" ca="1" si="0"/>
        <v>3.1296851838351292E-2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5"/>
      <c r="P45" s="5"/>
      <c r="Q45" s="5"/>
      <c r="R45" s="5"/>
      <c r="S45" s="5"/>
    </row>
    <row r="46" spans="1:19" ht="14.5">
      <c r="A46" s="13">
        <f t="shared" ca="1" si="0"/>
        <v>0.70865180045423393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5"/>
      <c r="P46" s="5"/>
      <c r="Q46" s="5"/>
      <c r="R46" s="5"/>
      <c r="S46" s="5"/>
    </row>
    <row r="47" spans="1:19" ht="14.5">
      <c r="A47" s="13">
        <f t="shared" ca="1" si="0"/>
        <v>0.61961989777736726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5"/>
      <c r="P47" s="5"/>
      <c r="Q47" s="5"/>
      <c r="R47" s="5"/>
      <c r="S47" s="5"/>
    </row>
    <row r="48" spans="1:19" ht="14.5">
      <c r="A48" s="13">
        <f t="shared" ca="1" si="0"/>
        <v>0.36093490390474958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5"/>
      <c r="P48" s="5"/>
      <c r="Q48" s="5"/>
      <c r="R48" s="5"/>
      <c r="S48" s="5"/>
    </row>
    <row r="49" spans="1:19" ht="14.5">
      <c r="A49" s="13">
        <f t="shared" ca="1" si="0"/>
        <v>0.93784185348446569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5"/>
      <c r="P49" s="5"/>
      <c r="Q49" s="5"/>
      <c r="R49" s="5"/>
      <c r="S49" s="5"/>
    </row>
    <row r="50" spans="1:19" ht="14.5">
      <c r="A50" s="13">
        <f t="shared" ca="1" si="0"/>
        <v>0.27988798815994076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5"/>
      <c r="P50" s="5"/>
      <c r="Q50" s="5"/>
      <c r="R50" s="5"/>
      <c r="S50" s="5"/>
    </row>
    <row r="51" spans="1:19" ht="14.5">
      <c r="A51" s="13">
        <f t="shared" ca="1" si="0"/>
        <v>0.43358418545523802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5"/>
      <c r="P51" s="5"/>
      <c r="Q51" s="5"/>
      <c r="R51" s="5"/>
      <c r="S51" s="5"/>
    </row>
    <row r="52" spans="1:19" ht="14.5">
      <c r="A52" s="13">
        <f t="shared" ca="1" si="0"/>
        <v>0.61299498167235333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5"/>
      <c r="P52" s="5"/>
      <c r="Q52" s="5"/>
      <c r="R52" s="5"/>
      <c r="S52" s="5"/>
    </row>
    <row r="53" spans="1:19" ht="14.5">
      <c r="A53" s="13">
        <f t="shared" ca="1" si="0"/>
        <v>0.92086162989510723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5"/>
      <c r="P53" s="5"/>
      <c r="Q53" s="5"/>
      <c r="R53" s="5"/>
      <c r="S53" s="5"/>
    </row>
    <row r="54" spans="1:19" ht="14.5">
      <c r="A54" s="13">
        <f t="shared" ca="1" si="0"/>
        <v>0.31527200543819511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5"/>
      <c r="P54" s="5"/>
      <c r="Q54" s="5"/>
      <c r="R54" s="5"/>
      <c r="S54" s="5"/>
    </row>
    <row r="55" spans="1:19" ht="14.5">
      <c r="A55" s="13">
        <f t="shared" ca="1" si="0"/>
        <v>0.26226661640054894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5"/>
      <c r="P55" s="5"/>
      <c r="Q55" s="5"/>
      <c r="R55" s="5"/>
      <c r="S55" s="5"/>
    </row>
    <row r="56" spans="1:19" ht="14.5">
      <c r="A56" s="13">
        <f t="shared" ca="1" si="0"/>
        <v>0.66836002241220327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5"/>
      <c r="P56" s="5"/>
      <c r="Q56" s="5"/>
      <c r="R56" s="5"/>
      <c r="S56" s="5"/>
    </row>
    <row r="57" spans="1:19" ht="14.5">
      <c r="A57" s="13">
        <f t="shared" ca="1" si="0"/>
        <v>8.9346513856747078E-2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5"/>
      <c r="P57" s="5"/>
      <c r="Q57" s="5"/>
      <c r="R57" s="5"/>
      <c r="S57" s="5"/>
    </row>
    <row r="58" spans="1:19" ht="14.5">
      <c r="A58" s="13">
        <f t="shared" ca="1" si="0"/>
        <v>0.66914304332192709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5"/>
      <c r="P58" s="5"/>
      <c r="Q58" s="5"/>
      <c r="R58" s="5"/>
      <c r="S58" s="5"/>
    </row>
    <row r="59" spans="1:19" ht="14.5">
      <c r="A59" s="13">
        <f t="shared" ca="1" si="0"/>
        <v>0.13785678544699798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5"/>
      <c r="P59" s="5"/>
      <c r="Q59" s="5"/>
      <c r="R59" s="5"/>
      <c r="S59" s="5"/>
    </row>
    <row r="60" spans="1:19" ht="14.5">
      <c r="A60" s="13">
        <f t="shared" ca="1" si="0"/>
        <v>0.58858384037555311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5"/>
      <c r="P60" s="5"/>
      <c r="Q60" s="5"/>
      <c r="R60" s="5"/>
      <c r="S60" s="5"/>
    </row>
    <row r="61" spans="1:19" ht="14.5">
      <c r="A61" s="13">
        <f t="shared" ca="1" si="0"/>
        <v>0.73888391366513628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5"/>
      <c r="P61" s="5"/>
      <c r="Q61" s="5"/>
      <c r="R61" s="5"/>
      <c r="S61" s="5"/>
    </row>
    <row r="62" spans="1:19" ht="14.5">
      <c r="A62" s="13">
        <f t="shared" ca="1" si="0"/>
        <v>9.2024708591587512E-2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5"/>
      <c r="P62" s="5"/>
      <c r="Q62" s="5"/>
      <c r="R62" s="5"/>
      <c r="S62" s="5"/>
    </row>
    <row r="63" spans="1:19" ht="14.5">
      <c r="A63" s="13">
        <f t="shared" ca="1" si="0"/>
        <v>0.97133789523326519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5"/>
      <c r="P63" s="5"/>
      <c r="Q63" s="5"/>
      <c r="R63" s="5"/>
      <c r="S63" s="5"/>
    </row>
    <row r="64" spans="1:19" ht="14.5">
      <c r="A64" s="13">
        <f t="shared" ca="1" si="0"/>
        <v>0.26882516145919999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5"/>
      <c r="P64" s="5"/>
      <c r="Q64" s="5"/>
      <c r="R64" s="5"/>
      <c r="S64" s="5"/>
    </row>
    <row r="65" spans="1:19" ht="14.5">
      <c r="A65" s="13">
        <f t="shared" ca="1" si="0"/>
        <v>0.95231847689658011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5"/>
      <c r="P65" s="5"/>
      <c r="Q65" s="5"/>
      <c r="R65" s="5"/>
      <c r="S65" s="5"/>
    </row>
    <row r="66" spans="1:19" ht="14.5">
      <c r="A66" s="13">
        <f t="shared" ca="1" si="0"/>
        <v>0.48098949914449063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5"/>
      <c r="P66" s="5"/>
      <c r="Q66" s="5"/>
      <c r="R66" s="5"/>
      <c r="S66" s="5"/>
    </row>
    <row r="67" spans="1:19" ht="14.5">
      <c r="A67" s="13">
        <f t="shared" ca="1" si="0"/>
        <v>0.13314540393356178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5"/>
      <c r="P67" s="5"/>
      <c r="Q67" s="5"/>
      <c r="R67" s="5"/>
      <c r="S67" s="5"/>
    </row>
    <row r="68" spans="1:19" ht="14.5">
      <c r="A68" s="13">
        <f t="shared" ca="1" si="0"/>
        <v>0.88425622920636826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5"/>
      <c r="P68" s="5"/>
      <c r="Q68" s="5"/>
      <c r="R68" s="5"/>
      <c r="S68" s="5"/>
    </row>
    <row r="69" spans="1:19" ht="14.5">
      <c r="A69" s="13">
        <f t="shared" ca="1" si="0"/>
        <v>0.70697355850921051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5"/>
      <c r="P69" s="5"/>
      <c r="Q69" s="5"/>
      <c r="R69" s="5"/>
      <c r="S69" s="5"/>
    </row>
    <row r="70" spans="1:19" ht="14.5">
      <c r="A70" s="13">
        <f t="shared" ca="1" si="0"/>
        <v>0.19919260483329926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5"/>
      <c r="P70" s="5"/>
      <c r="Q70" s="5"/>
      <c r="R70" s="5"/>
      <c r="S70" s="5"/>
    </row>
    <row r="71" spans="1:19" ht="14.5">
      <c r="A71" s="13">
        <f t="shared" ca="1" si="0"/>
        <v>0.75200251343105529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5"/>
      <c r="P71" s="5"/>
      <c r="Q71" s="5"/>
      <c r="R71" s="5"/>
      <c r="S71" s="5"/>
    </row>
    <row r="72" spans="1:19" ht="14.5">
      <c r="A72" s="13">
        <f t="shared" ca="1" si="0"/>
        <v>0.72040717009912536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5"/>
      <c r="P72" s="5"/>
      <c r="Q72" s="5"/>
      <c r="R72" s="5"/>
      <c r="S72" s="5"/>
    </row>
    <row r="73" spans="1:19" ht="14.5">
      <c r="A73" s="13">
        <f t="shared" ca="1" si="0"/>
        <v>0.7148742365159223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5"/>
      <c r="P73" s="5"/>
      <c r="Q73" s="5"/>
      <c r="R73" s="5"/>
      <c r="S73" s="5"/>
    </row>
    <row r="74" spans="1:19" ht="14.5">
      <c r="A74" s="13">
        <f t="shared" ca="1" si="0"/>
        <v>0.85824637804449211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5"/>
      <c r="P74" s="5"/>
      <c r="Q74" s="5"/>
      <c r="R74" s="5"/>
      <c r="S74" s="5"/>
    </row>
    <row r="75" spans="1:19" ht="14.5">
      <c r="A75" s="13">
        <f t="shared" ca="1" si="0"/>
        <v>0.41333312639105069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5"/>
      <c r="P75" s="5"/>
      <c r="Q75" s="5"/>
      <c r="R75" s="5"/>
      <c r="S75" s="5"/>
    </row>
    <row r="76" spans="1:19" ht="14.5">
      <c r="A76" s="13">
        <f t="shared" ca="1" si="0"/>
        <v>0.52428670478468076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5"/>
      <c r="P76" s="5"/>
      <c r="Q76" s="5"/>
      <c r="R76" s="5"/>
      <c r="S76" s="5"/>
    </row>
    <row r="77" spans="1:19" ht="14.5">
      <c r="A77" s="13">
        <f t="shared" ca="1" si="0"/>
        <v>6.4731318966977258E-2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5"/>
      <c r="P77" s="5"/>
      <c r="Q77" s="5"/>
      <c r="R77" s="5"/>
      <c r="S77" s="5"/>
    </row>
    <row r="78" spans="1:19" ht="14.5">
      <c r="A78" s="13">
        <f t="shared" ca="1" si="0"/>
        <v>0.88861810174085054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5"/>
      <c r="P78" s="5"/>
      <c r="Q78" s="5"/>
      <c r="R78" s="5"/>
      <c r="S78" s="5"/>
    </row>
    <row r="79" spans="1:19" ht="14.5">
      <c r="A79" s="13">
        <f t="shared" ca="1" si="0"/>
        <v>0.63868008702422752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5"/>
      <c r="P79" s="5"/>
      <c r="Q79" s="5"/>
      <c r="R79" s="5"/>
      <c r="S79" s="5"/>
    </row>
    <row r="80" spans="1:19" ht="14.5">
      <c r="A80" s="13">
        <f t="shared" ca="1" si="0"/>
        <v>0.1078675114372285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5"/>
      <c r="P80" s="5"/>
      <c r="Q80" s="5"/>
      <c r="R80" s="5"/>
      <c r="S80" s="5"/>
    </row>
    <row r="81" spans="1:19" ht="14.5">
      <c r="A81" s="13">
        <f t="shared" ca="1" si="0"/>
        <v>0.3179850663171363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5"/>
      <c r="P81" s="5"/>
      <c r="Q81" s="5"/>
      <c r="R81" s="5"/>
      <c r="S81" s="5"/>
    </row>
    <row r="82" spans="1:19" ht="14.5">
      <c r="A82" s="13">
        <f t="shared" ca="1" si="0"/>
        <v>0.64776380896110131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5"/>
      <c r="P82" s="5"/>
      <c r="Q82" s="5"/>
      <c r="R82" s="5"/>
      <c r="S82" s="5"/>
    </row>
    <row r="83" spans="1:19" ht="14.5">
      <c r="A83" s="13">
        <f t="shared" ca="1" si="0"/>
        <v>0.56718658824845936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5"/>
      <c r="P83" s="5"/>
      <c r="Q83" s="5"/>
      <c r="R83" s="5"/>
      <c r="S83" s="5"/>
    </row>
    <row r="84" spans="1:19" ht="14.5">
      <c r="A84" s="13">
        <f t="shared" ca="1" si="0"/>
        <v>0.82905871471921799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5"/>
      <c r="P84" s="5"/>
      <c r="Q84" s="5"/>
      <c r="R84" s="5"/>
      <c r="S84" s="5"/>
    </row>
    <row r="85" spans="1:19" ht="14.5">
      <c r="A85" s="13">
        <f t="shared" ca="1" si="0"/>
        <v>0.50177670239809058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5"/>
      <c r="P85" s="5"/>
      <c r="Q85" s="5"/>
      <c r="R85" s="5"/>
      <c r="S85" s="5"/>
    </row>
    <row r="86" spans="1:19" ht="14.5">
      <c r="A86" s="13">
        <f t="shared" ca="1" si="0"/>
        <v>0.68516249823750996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5"/>
      <c r="P86" s="5"/>
      <c r="Q86" s="5"/>
      <c r="R86" s="5"/>
      <c r="S86" s="5"/>
    </row>
    <row r="87" spans="1:19" ht="14.5">
      <c r="A87" s="13">
        <f t="shared" ca="1" si="0"/>
        <v>0.34913109554006239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5"/>
      <c r="P87" s="5"/>
      <c r="Q87" s="5"/>
      <c r="R87" s="5"/>
      <c r="S87" s="5"/>
    </row>
    <row r="88" spans="1:19" ht="14.5">
      <c r="A88" s="13">
        <f t="shared" ca="1" si="0"/>
        <v>0.61279895521283656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5"/>
      <c r="P88" s="5"/>
      <c r="Q88" s="5"/>
      <c r="R88" s="5"/>
      <c r="S88" s="5"/>
    </row>
    <row r="89" spans="1:19" ht="14.5">
      <c r="A89" s="13">
        <f t="shared" ca="1" si="0"/>
        <v>0.7827329624053011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5"/>
      <c r="P89" s="5"/>
      <c r="Q89" s="5"/>
      <c r="R89" s="5"/>
      <c r="S89" s="5"/>
    </row>
    <row r="90" spans="1:19" ht="14.5">
      <c r="A90" s="13">
        <f t="shared" ca="1" si="0"/>
        <v>0.74371062703824664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5"/>
      <c r="P90" s="5"/>
      <c r="Q90" s="5"/>
      <c r="R90" s="5"/>
      <c r="S90" s="5"/>
    </row>
    <row r="91" spans="1:19" ht="14.5">
      <c r="A91" s="13">
        <f t="shared" ca="1" si="0"/>
        <v>0.5027229105836063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5"/>
      <c r="P91" s="5"/>
      <c r="Q91" s="5"/>
      <c r="R91" s="5"/>
      <c r="S91" s="5"/>
    </row>
    <row r="92" spans="1:19" ht="14.5">
      <c r="A92" s="13">
        <f t="shared" ca="1" si="0"/>
        <v>0.30204924863224836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5"/>
      <c r="P92" s="5"/>
      <c r="Q92" s="5"/>
      <c r="R92" s="5"/>
      <c r="S92" s="5"/>
    </row>
    <row r="93" spans="1:19" ht="14.5">
      <c r="A93" s="13">
        <f t="shared" ca="1" si="0"/>
        <v>0.86638001072600357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5"/>
      <c r="P93" s="5"/>
      <c r="Q93" s="5"/>
      <c r="R93" s="5"/>
      <c r="S93" s="5"/>
    </row>
    <row r="94" spans="1:19" ht="14.5">
      <c r="A94" s="13">
        <f t="shared" ca="1" si="0"/>
        <v>0.1154877847782273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5"/>
      <c r="P94" s="5"/>
      <c r="Q94" s="5"/>
      <c r="R94" s="5"/>
      <c r="S94" s="5"/>
    </row>
    <row r="95" spans="1:19" ht="14.5">
      <c r="A95" s="13">
        <f t="shared" ca="1" si="0"/>
        <v>0.4556823175232787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5"/>
      <c r="P95" s="5"/>
      <c r="Q95" s="5"/>
      <c r="R95" s="5"/>
      <c r="S95" s="5"/>
    </row>
    <row r="96" spans="1:19" ht="14.5">
      <c r="A96" s="13">
        <f t="shared" ca="1" si="0"/>
        <v>0.19877761231299196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5"/>
      <c r="P96" s="5"/>
      <c r="Q96" s="5"/>
      <c r="R96" s="5"/>
      <c r="S96" s="5"/>
    </row>
    <row r="97" spans="1:19" ht="14.5">
      <c r="A97" s="13">
        <f t="shared" ca="1" si="0"/>
        <v>0.22265984671640471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5"/>
      <c r="P97" s="5"/>
      <c r="Q97" s="5"/>
      <c r="R97" s="5"/>
      <c r="S97" s="5"/>
    </row>
    <row r="98" spans="1:19" ht="1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5"/>
      <c r="P98" s="5"/>
      <c r="Q98" s="5"/>
      <c r="R98" s="5"/>
      <c r="S98" s="5"/>
    </row>
    <row r="99" spans="1:19" ht="15.5">
      <c r="A99" s="7"/>
      <c r="B99" s="14" t="s">
        <v>8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5"/>
      <c r="P99" s="5"/>
      <c r="Q99" s="5"/>
      <c r="R99" s="5"/>
      <c r="S99" s="5"/>
    </row>
    <row r="100" spans="1:19" ht="1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5"/>
      <c r="P100" s="5"/>
      <c r="Q100" s="5"/>
      <c r="R100" s="5"/>
      <c r="S100" s="5"/>
    </row>
    <row r="101" spans="1:19" ht="15.5">
      <c r="A101" s="7"/>
      <c r="B101" s="15" t="s">
        <v>9</v>
      </c>
      <c r="C101" s="10"/>
      <c r="D101" s="10"/>
      <c r="E101" s="10"/>
      <c r="F101" s="10"/>
      <c r="G101" s="10"/>
      <c r="H101" s="10"/>
      <c r="I101" s="10"/>
      <c r="J101" s="7"/>
      <c r="K101" s="7"/>
      <c r="L101" s="7"/>
      <c r="M101" s="7"/>
      <c r="N101" s="7"/>
      <c r="O101" s="5"/>
      <c r="P101" s="5"/>
      <c r="Q101" s="5"/>
      <c r="R101" s="5"/>
      <c r="S101" s="5"/>
    </row>
    <row r="102" spans="1:19" ht="14">
      <c r="A102" s="7"/>
      <c r="B102" s="10"/>
      <c r="C102" s="10"/>
      <c r="D102" s="10"/>
      <c r="E102" s="10"/>
      <c r="F102" s="10"/>
      <c r="G102" s="10"/>
      <c r="H102" s="10"/>
      <c r="I102" s="10"/>
      <c r="J102" s="7"/>
      <c r="K102" s="7"/>
      <c r="L102" s="7"/>
      <c r="M102" s="7"/>
      <c r="N102" s="7"/>
      <c r="O102" s="5"/>
      <c r="P102" s="5"/>
      <c r="Q102" s="5"/>
      <c r="R102" s="5"/>
      <c r="S102" s="5"/>
    </row>
    <row r="103" spans="1:19" ht="15.5">
      <c r="A103" s="7"/>
      <c r="B103" s="15" t="s">
        <v>10</v>
      </c>
      <c r="C103" s="10"/>
      <c r="D103" s="10"/>
      <c r="E103" s="10"/>
      <c r="F103" s="10"/>
      <c r="G103" s="10"/>
      <c r="H103" s="10"/>
      <c r="I103" s="10"/>
      <c r="J103" s="7"/>
      <c r="K103" s="7"/>
      <c r="L103" s="7"/>
      <c r="M103" s="7"/>
      <c r="N103" s="7"/>
      <c r="O103" s="5"/>
      <c r="P103" s="5"/>
      <c r="Q103" s="5"/>
      <c r="R103" s="5"/>
      <c r="S103" s="5"/>
    </row>
    <row r="104" spans="1:19" ht="14">
      <c r="A104" s="7"/>
      <c r="B104" s="10"/>
      <c r="C104" s="10"/>
      <c r="D104" s="10"/>
      <c r="E104" s="10"/>
      <c r="F104" s="10"/>
      <c r="G104" s="10"/>
      <c r="H104" s="10"/>
      <c r="I104" s="10"/>
      <c r="J104" s="7"/>
      <c r="K104" s="7"/>
      <c r="L104" s="7"/>
      <c r="M104" s="7"/>
      <c r="N104" s="7"/>
      <c r="O104" s="5"/>
      <c r="P104" s="5"/>
      <c r="Q104" s="5"/>
      <c r="R104" s="5"/>
      <c r="S104" s="5"/>
    </row>
    <row r="105" spans="1:19" ht="15.5">
      <c r="A105" s="7"/>
      <c r="B105" s="15" t="s">
        <v>11</v>
      </c>
      <c r="C105" s="10"/>
      <c r="D105" s="10"/>
      <c r="E105" s="10"/>
      <c r="F105" s="10"/>
      <c r="G105" s="10"/>
      <c r="H105" s="10"/>
      <c r="I105" s="10"/>
      <c r="J105" s="7"/>
      <c r="K105" s="7"/>
      <c r="L105" s="7"/>
      <c r="M105" s="7"/>
      <c r="N105" s="7"/>
      <c r="O105" s="5"/>
      <c r="P105" s="5"/>
      <c r="Q105" s="5"/>
      <c r="R105" s="5"/>
      <c r="S105" s="5"/>
    </row>
    <row r="106" spans="1:19" ht="1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5"/>
      <c r="P106" s="5"/>
      <c r="Q106" s="5"/>
      <c r="R106" s="5"/>
      <c r="S106" s="5"/>
    </row>
    <row r="107" spans="1:19" ht="15.5">
      <c r="A107" s="15" t="s">
        <v>12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5"/>
      <c r="P107" s="5"/>
      <c r="Q107" s="5"/>
      <c r="R107" s="5"/>
      <c r="S107" s="5"/>
    </row>
    <row r="108" spans="1:19" ht="14">
      <c r="A108" s="10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5"/>
      <c r="P108" s="5"/>
      <c r="Q108" s="5"/>
      <c r="R108" s="5"/>
      <c r="S108" s="5"/>
    </row>
    <row r="109" spans="1:19" ht="15.5">
      <c r="A109" s="15" t="s">
        <v>13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5"/>
      <c r="P109" s="5"/>
      <c r="Q109" s="5"/>
      <c r="R109" s="5"/>
      <c r="S109" s="5"/>
    </row>
    <row r="110" spans="1:19" ht="15.5">
      <c r="A110" s="7"/>
      <c r="B110" s="14" t="s">
        <v>14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5"/>
      <c r="P110" s="5"/>
      <c r="Q110" s="5"/>
      <c r="R110" s="5"/>
      <c r="S110" s="5"/>
    </row>
    <row r="111" spans="1:19" ht="1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 spans="1:19" ht="1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7"/>
  <sheetViews>
    <sheetView workbookViewId="0">
      <selection activeCell="J11" sqref="J11"/>
    </sheetView>
  </sheetViews>
  <sheetFormatPr defaultColWidth="12.6328125" defaultRowHeight="15" customHeight="1"/>
  <sheetData>
    <row r="1" spans="1:26" ht="15" customHeight="1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  <c r="Z1" s="3"/>
    </row>
    <row r="2" spans="1:26" ht="15" customHeight="1">
      <c r="A2" t="s">
        <v>89</v>
      </c>
    </row>
    <row r="3" spans="1:26" ht="15" customHeight="1">
      <c r="A3" s="6" t="s">
        <v>16</v>
      </c>
      <c r="B3" s="7"/>
      <c r="C3" s="7"/>
      <c r="D3" s="7"/>
      <c r="E3" s="7"/>
      <c r="F3" s="7"/>
      <c r="G3" s="7"/>
      <c r="H3" s="7"/>
      <c r="I3" s="5"/>
      <c r="J3" s="5"/>
      <c r="K3" s="5"/>
      <c r="L3" s="5"/>
      <c r="M3" s="5"/>
      <c r="N3" s="5"/>
    </row>
    <row r="4" spans="1:26">
      <c r="A4" s="7"/>
      <c r="B4" s="7"/>
      <c r="C4" s="7"/>
      <c r="D4" s="7"/>
      <c r="E4" s="7"/>
      <c r="F4" s="7"/>
      <c r="G4" s="7"/>
      <c r="H4" s="7"/>
      <c r="I4" s="5"/>
      <c r="J4" s="5"/>
      <c r="K4" s="5"/>
      <c r="L4" s="5"/>
      <c r="M4" s="5"/>
      <c r="N4" s="5"/>
    </row>
    <row r="5" spans="1:26" ht="15" customHeight="1">
      <c r="A5" s="6" t="s">
        <v>17</v>
      </c>
      <c r="B5" s="7"/>
      <c r="C5" s="7"/>
      <c r="D5" s="7"/>
      <c r="E5" s="7"/>
      <c r="F5" s="7"/>
      <c r="G5" s="7"/>
      <c r="H5" s="7"/>
      <c r="I5" s="5"/>
      <c r="J5" s="5"/>
      <c r="K5" s="5"/>
      <c r="L5" s="5"/>
      <c r="M5" s="5"/>
      <c r="N5" s="5"/>
    </row>
    <row r="6" spans="1:26">
      <c r="A6" s="7"/>
      <c r="B6" s="7"/>
      <c r="C6" s="7"/>
      <c r="D6" s="7"/>
      <c r="E6" s="7"/>
      <c r="F6" s="7"/>
      <c r="G6" s="7"/>
      <c r="H6" s="7"/>
      <c r="I6" s="5"/>
      <c r="J6" s="5"/>
      <c r="K6" s="5"/>
      <c r="L6" s="5"/>
      <c r="M6" s="5"/>
      <c r="N6" s="5"/>
    </row>
    <row r="7" spans="1:26" ht="15" customHeight="1">
      <c r="A7" s="6" t="s">
        <v>18</v>
      </c>
      <c r="B7" s="7"/>
      <c r="C7" s="7"/>
      <c r="D7" s="7"/>
      <c r="E7" s="7"/>
      <c r="F7" s="7"/>
      <c r="G7" s="7"/>
      <c r="H7" s="7"/>
      <c r="I7" s="5"/>
      <c r="J7" s="5"/>
      <c r="K7" s="5"/>
      <c r="L7" s="5"/>
      <c r="M7" s="5"/>
      <c r="N7" s="5"/>
    </row>
    <row r="8" spans="1:26">
      <c r="A8" s="7"/>
      <c r="B8" s="7"/>
      <c r="C8" s="7"/>
      <c r="D8" s="7"/>
      <c r="E8" s="7"/>
      <c r="F8" s="7"/>
      <c r="G8" s="7"/>
      <c r="H8" s="7"/>
      <c r="I8" s="5"/>
      <c r="J8" s="5"/>
      <c r="K8" s="5"/>
      <c r="L8" s="5"/>
      <c r="M8" s="5"/>
      <c r="N8" s="5"/>
    </row>
    <row r="9" spans="1:26" ht="15" customHeight="1">
      <c r="A9" s="6" t="s">
        <v>19</v>
      </c>
      <c r="B9" s="7"/>
      <c r="C9" s="7"/>
      <c r="D9" s="7"/>
      <c r="E9" s="7"/>
      <c r="F9" s="7"/>
      <c r="G9" s="7"/>
      <c r="H9" s="7"/>
      <c r="I9" s="5"/>
      <c r="J9" s="5"/>
      <c r="K9" s="5"/>
      <c r="L9" s="5"/>
      <c r="M9" s="5"/>
      <c r="N9" s="5"/>
    </row>
    <row r="10" spans="1:26">
      <c r="A10" s="7"/>
      <c r="B10" s="7"/>
      <c r="C10" s="7"/>
      <c r="D10" s="7"/>
      <c r="E10" s="7"/>
      <c r="F10" s="7"/>
      <c r="G10" s="7"/>
      <c r="H10" s="7"/>
      <c r="I10" s="5"/>
      <c r="J10" s="5"/>
      <c r="K10" s="5"/>
      <c r="L10" s="5"/>
      <c r="M10" s="5"/>
      <c r="N10" s="5"/>
    </row>
    <row r="11" spans="1:26" ht="15" customHeight="1">
      <c r="A11" s="6" t="s">
        <v>20</v>
      </c>
      <c r="B11" s="7"/>
      <c r="C11" s="7"/>
      <c r="D11" s="7"/>
      <c r="E11" s="7"/>
      <c r="F11" s="7"/>
      <c r="G11" s="7"/>
      <c r="H11" s="7"/>
      <c r="I11" s="5"/>
      <c r="J11" s="5"/>
      <c r="K11" s="5"/>
      <c r="L11" s="5"/>
      <c r="M11" s="5"/>
      <c r="N11" s="5"/>
    </row>
    <row r="12" spans="1:26">
      <c r="A12" s="7"/>
      <c r="B12" s="7"/>
      <c r="C12" s="7"/>
      <c r="D12" s="7"/>
      <c r="E12" s="7"/>
      <c r="F12" s="7"/>
      <c r="G12" s="7"/>
      <c r="H12" s="7"/>
      <c r="I12" s="5"/>
      <c r="J12" s="5"/>
      <c r="K12" s="5"/>
      <c r="L12" s="5"/>
      <c r="M12" s="5"/>
      <c r="N12" s="5"/>
    </row>
    <row r="13" spans="1:26" ht="15" customHeight="1">
      <c r="A13" s="6" t="s">
        <v>21</v>
      </c>
      <c r="B13" s="7"/>
      <c r="C13" s="7"/>
      <c r="D13" s="7"/>
      <c r="E13" s="7"/>
      <c r="F13" s="7"/>
      <c r="G13" s="7"/>
      <c r="H13" s="7"/>
      <c r="I13" s="5"/>
      <c r="J13" s="5"/>
      <c r="K13" s="5"/>
      <c r="L13" s="5"/>
      <c r="M13" s="5"/>
      <c r="N13" s="5"/>
    </row>
    <row r="14" spans="1:26">
      <c r="A14" s="7"/>
      <c r="B14" s="7"/>
      <c r="C14" s="7"/>
      <c r="D14" s="7"/>
      <c r="E14" s="7"/>
      <c r="F14" s="7"/>
      <c r="G14" s="7"/>
      <c r="H14" s="7"/>
      <c r="I14" s="5"/>
      <c r="J14" s="5"/>
      <c r="K14" s="5"/>
      <c r="L14" s="5"/>
      <c r="M14" s="5"/>
      <c r="N14" s="5"/>
    </row>
    <row r="15" spans="1:26" ht="15" customHeight="1">
      <c r="A15" s="16" t="s">
        <v>22</v>
      </c>
      <c r="B15" s="17"/>
      <c r="C15" s="17"/>
      <c r="D15" s="17"/>
      <c r="E15" s="17"/>
      <c r="F15" s="17"/>
      <c r="G15" s="17"/>
      <c r="H15" s="7"/>
      <c r="I15" s="5"/>
      <c r="J15" s="5"/>
      <c r="K15" s="5"/>
      <c r="L15" s="5"/>
      <c r="M15" s="5"/>
      <c r="N15" s="5"/>
    </row>
    <row r="16" spans="1:26">
      <c r="A16" s="7"/>
      <c r="B16" s="7"/>
      <c r="C16" s="7"/>
      <c r="D16" s="7"/>
      <c r="E16" s="7"/>
      <c r="F16" s="7"/>
      <c r="G16" s="7"/>
      <c r="H16" s="7"/>
      <c r="I16" s="5"/>
      <c r="J16" s="5"/>
      <c r="K16" s="5"/>
      <c r="L16" s="5"/>
      <c r="M16" s="5"/>
      <c r="N16" s="5"/>
    </row>
    <row r="17" spans="1:1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7"/>
  <sheetViews>
    <sheetView topLeftCell="A10" workbookViewId="0">
      <selection activeCell="F16" sqref="F16"/>
    </sheetView>
  </sheetViews>
  <sheetFormatPr defaultColWidth="12.6328125" defaultRowHeight="15" customHeight="1"/>
  <sheetData>
    <row r="1" spans="1:26" ht="15" customHeight="1">
      <c r="A1" s="1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3"/>
      <c r="Y1" s="3"/>
      <c r="Z1" s="3"/>
    </row>
    <row r="2" spans="1:26" ht="15" customHeight="1">
      <c r="A2" t="s">
        <v>89</v>
      </c>
    </row>
    <row r="3" spans="1:26" ht="15" customHeight="1">
      <c r="A3" s="6" t="s">
        <v>24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5"/>
      <c r="P3" s="5"/>
      <c r="Q3" s="5"/>
      <c r="R3" s="5"/>
      <c r="S3" s="5"/>
      <c r="T3" s="5"/>
      <c r="U3" s="5"/>
      <c r="V3" s="5"/>
    </row>
    <row r="4" spans="1:26" ht="15" customHeight="1">
      <c r="A4" s="6" t="s">
        <v>25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5"/>
      <c r="P4" s="5"/>
      <c r="Q4" s="5"/>
      <c r="R4" s="5"/>
      <c r="S4" s="5"/>
      <c r="T4" s="5"/>
      <c r="U4" s="5"/>
      <c r="V4" s="5"/>
    </row>
    <row r="5" spans="1:26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5"/>
      <c r="P5" s="5"/>
      <c r="Q5" s="5"/>
      <c r="R5" s="5"/>
      <c r="S5" s="5"/>
      <c r="T5" s="5"/>
      <c r="U5" s="5"/>
      <c r="V5" s="5"/>
    </row>
    <row r="6" spans="1:26" ht="15" customHeight="1">
      <c r="A6" s="6" t="s">
        <v>26</v>
      </c>
      <c r="B6" s="6" t="s">
        <v>27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5"/>
      <c r="P6" s="5"/>
      <c r="Q6" s="5"/>
      <c r="R6" s="5"/>
      <c r="S6" s="5"/>
      <c r="T6" s="5"/>
      <c r="U6" s="5"/>
      <c r="V6" s="5"/>
    </row>
    <row r="7" spans="1:26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5"/>
      <c r="P7" s="5"/>
      <c r="Q7" s="5"/>
      <c r="R7" s="5"/>
      <c r="S7" s="5"/>
      <c r="T7" s="5"/>
      <c r="U7" s="5"/>
      <c r="V7" s="5"/>
    </row>
    <row r="8" spans="1:26" ht="15" customHeight="1">
      <c r="A8" s="6" t="s">
        <v>28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5"/>
      <c r="P8" s="5"/>
      <c r="Q8" s="5"/>
      <c r="R8" s="5"/>
      <c r="S8" s="5"/>
      <c r="T8" s="5"/>
      <c r="U8" s="5"/>
      <c r="V8" s="5"/>
    </row>
    <row r="9" spans="1:26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5"/>
      <c r="P9" s="5"/>
      <c r="Q9" s="5"/>
      <c r="R9" s="5"/>
      <c r="S9" s="5"/>
      <c r="T9" s="5"/>
      <c r="U9" s="5"/>
      <c r="V9" s="5"/>
    </row>
    <row r="10" spans="1:26" ht="15" customHeight="1">
      <c r="A10" s="6" t="s">
        <v>29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5"/>
      <c r="P10" s="5"/>
      <c r="Q10" s="5"/>
      <c r="R10" s="5"/>
      <c r="S10" s="5"/>
      <c r="T10" s="5"/>
      <c r="U10" s="5"/>
      <c r="V10" s="5"/>
    </row>
    <row r="11" spans="1:2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5"/>
      <c r="P11" s="5"/>
      <c r="Q11" s="5"/>
      <c r="R11" s="5"/>
      <c r="S11" s="5"/>
      <c r="T11" s="5"/>
      <c r="U11" s="5"/>
      <c r="V11" s="5"/>
    </row>
    <row r="12" spans="1:26" ht="15" customHeight="1">
      <c r="A12" s="6" t="s">
        <v>30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5"/>
      <c r="P12" s="5"/>
      <c r="Q12" s="5"/>
      <c r="R12" s="5"/>
      <c r="S12" s="5"/>
      <c r="T12" s="5"/>
      <c r="U12" s="5"/>
      <c r="V12" s="5"/>
    </row>
    <row r="13" spans="1:26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5"/>
      <c r="P13" s="5"/>
      <c r="Q13" s="5"/>
      <c r="R13" s="5"/>
      <c r="S13" s="5"/>
      <c r="T13" s="5"/>
      <c r="U13" s="5"/>
      <c r="V13" s="5"/>
    </row>
    <row r="14" spans="1:26" ht="15" customHeight="1">
      <c r="A14" s="7"/>
      <c r="B14" s="8" t="s">
        <v>31</v>
      </c>
      <c r="C14" s="7"/>
      <c r="D14" s="7"/>
      <c r="E14" s="7"/>
      <c r="F14" s="7"/>
      <c r="G14" s="7"/>
      <c r="H14" s="7"/>
      <c r="I14" s="7"/>
      <c r="J14" s="8" t="s">
        <v>32</v>
      </c>
      <c r="K14" s="7"/>
      <c r="L14" s="7"/>
      <c r="M14" s="7"/>
      <c r="N14" s="7"/>
      <c r="O14" s="5"/>
      <c r="P14" s="5"/>
      <c r="Q14" s="5"/>
      <c r="R14" s="5"/>
      <c r="S14" s="5"/>
      <c r="T14" s="5"/>
      <c r="U14" s="5"/>
      <c r="V14" s="5"/>
    </row>
    <row r="15" spans="1:2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5"/>
      <c r="P15" s="5"/>
      <c r="Q15" s="5"/>
      <c r="R15" s="5"/>
      <c r="S15" s="5"/>
      <c r="T15" s="5"/>
      <c r="U15" s="5"/>
      <c r="V15" s="5"/>
    </row>
    <row r="16" spans="1:26" ht="15" customHeight="1">
      <c r="A16" s="7"/>
      <c r="B16" s="9" t="s">
        <v>33</v>
      </c>
      <c r="C16" s="10"/>
      <c r="D16" s="10"/>
      <c r="E16" s="10"/>
      <c r="F16" s="10"/>
      <c r="G16" s="10"/>
      <c r="H16" s="10"/>
      <c r="I16" s="7"/>
      <c r="J16" s="18" t="s">
        <v>34</v>
      </c>
      <c r="K16" s="10"/>
      <c r="L16" s="10"/>
      <c r="M16" s="10"/>
      <c r="N16" s="10"/>
      <c r="O16" s="5"/>
      <c r="P16" s="5"/>
      <c r="Q16" s="5"/>
      <c r="R16" s="5"/>
      <c r="S16" s="5"/>
      <c r="T16" s="5"/>
      <c r="U16" s="5"/>
      <c r="V16" s="5"/>
    </row>
    <row r="17" spans="1:22">
      <c r="A17" s="7"/>
      <c r="B17" s="10"/>
      <c r="C17" s="10"/>
      <c r="D17" s="10"/>
      <c r="E17" s="10"/>
      <c r="F17" s="10"/>
      <c r="G17" s="10"/>
      <c r="H17" s="10"/>
      <c r="I17" s="7"/>
      <c r="J17" s="10"/>
      <c r="K17" s="10"/>
      <c r="L17" s="10"/>
      <c r="M17" s="10"/>
      <c r="N17" s="10"/>
      <c r="O17" s="5"/>
      <c r="P17" s="5"/>
      <c r="Q17" s="5"/>
      <c r="R17" s="5"/>
      <c r="S17" s="5"/>
      <c r="T17" s="5"/>
      <c r="U17" s="5"/>
      <c r="V17" s="5"/>
    </row>
    <row r="18" spans="1:22" ht="15" customHeight="1">
      <c r="A18" s="7"/>
      <c r="B18" s="9" t="s">
        <v>35</v>
      </c>
      <c r="C18" s="10"/>
      <c r="D18" s="10"/>
      <c r="E18" s="10"/>
      <c r="F18" s="10"/>
      <c r="G18" s="10"/>
      <c r="H18" s="10"/>
      <c r="I18" s="7"/>
      <c r="J18" s="18" t="s">
        <v>36</v>
      </c>
      <c r="K18" s="10"/>
      <c r="L18" s="10"/>
      <c r="M18" s="10"/>
      <c r="N18" s="10"/>
      <c r="O18" s="5"/>
      <c r="P18" s="5"/>
      <c r="Q18" s="5"/>
      <c r="R18" s="5"/>
      <c r="S18" s="5"/>
      <c r="T18" s="5"/>
      <c r="U18" s="5"/>
      <c r="V18" s="5"/>
    </row>
    <row r="19" spans="1:22">
      <c r="A19" s="7"/>
      <c r="B19" s="10"/>
      <c r="C19" s="10"/>
      <c r="D19" s="10"/>
      <c r="E19" s="10"/>
      <c r="F19" s="10"/>
      <c r="G19" s="10"/>
      <c r="H19" s="10"/>
      <c r="I19" s="7"/>
      <c r="J19" s="10"/>
      <c r="K19" s="10"/>
      <c r="L19" s="10"/>
      <c r="M19" s="10"/>
      <c r="N19" s="10"/>
      <c r="O19" s="5"/>
      <c r="P19" s="5"/>
      <c r="Q19" s="5"/>
      <c r="R19" s="5"/>
      <c r="S19" s="5"/>
      <c r="T19" s="5"/>
      <c r="U19" s="5"/>
      <c r="V19" s="5"/>
    </row>
    <row r="20" spans="1:22" ht="15" customHeight="1">
      <c r="A20" s="7"/>
      <c r="B20" s="9" t="s">
        <v>37</v>
      </c>
      <c r="C20" s="10"/>
      <c r="D20" s="10"/>
      <c r="E20" s="10"/>
      <c r="F20" s="10"/>
      <c r="G20" s="10"/>
      <c r="H20" s="10"/>
      <c r="I20" s="7"/>
      <c r="J20" s="18" t="s">
        <v>38</v>
      </c>
      <c r="K20" s="10"/>
      <c r="L20" s="10"/>
      <c r="M20" s="10"/>
      <c r="N20" s="10"/>
      <c r="O20" s="5"/>
      <c r="P20" s="5"/>
      <c r="Q20" s="5"/>
      <c r="R20" s="5"/>
      <c r="S20" s="5"/>
      <c r="T20" s="5"/>
      <c r="U20" s="5"/>
      <c r="V20" s="5"/>
    </row>
    <row r="21" spans="1:22" ht="14">
      <c r="A21" s="7"/>
      <c r="B21" s="10"/>
      <c r="C21" s="10"/>
      <c r="D21" s="10"/>
      <c r="E21" s="10"/>
      <c r="F21" s="10"/>
      <c r="G21" s="10"/>
      <c r="H21" s="10"/>
      <c r="I21" s="7"/>
      <c r="J21" s="7"/>
      <c r="K21" s="7"/>
      <c r="L21" s="7"/>
      <c r="M21" s="7"/>
      <c r="N21" s="7"/>
      <c r="O21" s="5"/>
      <c r="P21" s="5"/>
      <c r="Q21" s="5"/>
      <c r="R21" s="5"/>
      <c r="S21" s="5"/>
      <c r="T21" s="5"/>
      <c r="U21" s="5"/>
      <c r="V21" s="5"/>
    </row>
    <row r="22" spans="1:22" ht="18.5">
      <c r="A22" s="7"/>
      <c r="B22" s="9" t="s">
        <v>39</v>
      </c>
      <c r="C22" s="10"/>
      <c r="D22" s="10"/>
      <c r="E22" s="10"/>
      <c r="F22" s="10"/>
      <c r="G22" s="10"/>
      <c r="H22" s="10"/>
      <c r="I22" s="7"/>
      <c r="J22" s="7"/>
      <c r="K22" s="7"/>
      <c r="L22" s="7"/>
      <c r="M22" s="7"/>
      <c r="N22" s="7"/>
      <c r="O22" s="5"/>
      <c r="P22" s="5"/>
      <c r="Q22" s="5"/>
      <c r="R22" s="5"/>
      <c r="S22" s="5"/>
      <c r="T22" s="5"/>
      <c r="U22" s="5"/>
      <c r="V22" s="5"/>
    </row>
    <row r="23" spans="1:22" ht="1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5"/>
      <c r="P23" s="5"/>
      <c r="Q23" s="5"/>
      <c r="R23" s="5"/>
      <c r="S23" s="5"/>
      <c r="T23" s="5"/>
      <c r="U23" s="5"/>
      <c r="V23" s="5"/>
    </row>
    <row r="24" spans="1:22" ht="18.5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5"/>
      <c r="P24" s="5"/>
      <c r="Q24" s="5"/>
      <c r="R24" s="5"/>
      <c r="S24" s="5"/>
      <c r="T24" s="5"/>
      <c r="U24" s="5"/>
      <c r="V24" s="5"/>
    </row>
    <row r="25" spans="1:22" ht="1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5"/>
      <c r="P25" s="5"/>
      <c r="Q25" s="5"/>
      <c r="R25" s="5"/>
      <c r="S25" s="5"/>
      <c r="T25" s="5"/>
      <c r="U25" s="5"/>
      <c r="V25" s="5"/>
    </row>
    <row r="26" spans="1:22" ht="1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1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30"/>
  <sheetViews>
    <sheetView workbookViewId="0">
      <selection activeCell="D11" sqref="D11"/>
    </sheetView>
  </sheetViews>
  <sheetFormatPr defaultColWidth="12.6328125" defaultRowHeight="15" customHeight="1"/>
  <sheetData>
    <row r="1" spans="1:26" ht="15" customHeight="1">
      <c r="A1" s="1" t="s">
        <v>41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" t="s">
        <v>89</v>
      </c>
      <c r="B2" s="5"/>
      <c r="C2" s="5"/>
      <c r="D2" s="5"/>
      <c r="E2" s="5"/>
      <c r="F2" s="5"/>
      <c r="G2" s="5"/>
    </row>
    <row r="3" spans="1:26" ht="15" customHeight="1">
      <c r="A3" s="6" t="s">
        <v>42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5"/>
      <c r="O3" s="5"/>
      <c r="P3" s="5"/>
    </row>
    <row r="4" spans="1:26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5"/>
      <c r="O4" s="5"/>
      <c r="P4" s="5"/>
    </row>
    <row r="5" spans="1:26" ht="15" customHeight="1">
      <c r="A5" s="8" t="s">
        <v>43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5"/>
      <c r="O5" s="5"/>
      <c r="P5" s="5"/>
    </row>
    <row r="6" spans="1:2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5"/>
      <c r="O6" s="5"/>
      <c r="P6" s="5"/>
    </row>
    <row r="7" spans="1:26" ht="15" customHeight="1">
      <c r="A7" s="8" t="s">
        <v>44</v>
      </c>
      <c r="B7" s="7"/>
      <c r="C7" s="7"/>
      <c r="D7" s="7"/>
      <c r="E7" s="7"/>
      <c r="F7" s="11"/>
      <c r="G7" s="11"/>
      <c r="H7" s="11"/>
      <c r="I7" s="7"/>
      <c r="J7" s="7"/>
      <c r="K7" s="11"/>
      <c r="L7" s="11"/>
      <c r="M7" s="11"/>
      <c r="N7" s="5"/>
      <c r="O7" s="5"/>
      <c r="P7" s="5"/>
    </row>
    <row r="8" spans="1:26">
      <c r="A8" s="7"/>
      <c r="B8" s="7"/>
      <c r="C8" s="7"/>
      <c r="D8" s="7"/>
      <c r="E8" s="7"/>
      <c r="F8" s="11"/>
      <c r="G8" s="11"/>
      <c r="H8" s="11"/>
      <c r="I8" s="7"/>
      <c r="J8" s="7"/>
      <c r="K8" s="11"/>
      <c r="L8" s="11"/>
      <c r="M8" s="11"/>
      <c r="N8" s="5"/>
      <c r="O8" s="5"/>
      <c r="P8" s="5"/>
    </row>
    <row r="9" spans="1:26" ht="15" customHeight="1">
      <c r="A9" s="6" t="s">
        <v>45</v>
      </c>
      <c r="B9" s="7"/>
      <c r="C9" s="7"/>
      <c r="D9" s="7"/>
      <c r="E9" s="7"/>
      <c r="F9" s="11"/>
      <c r="G9" s="11"/>
      <c r="H9" s="11"/>
      <c r="I9" s="7"/>
      <c r="J9" s="7"/>
      <c r="K9" s="11"/>
      <c r="L9" s="11"/>
      <c r="M9" s="11"/>
      <c r="N9" s="5"/>
      <c r="O9" s="5"/>
      <c r="P9" s="5"/>
    </row>
    <row r="10" spans="1:26">
      <c r="A10" s="7"/>
      <c r="B10" s="7"/>
      <c r="C10" s="7"/>
      <c r="D10" s="7"/>
      <c r="E10" s="7"/>
      <c r="F10" s="11"/>
      <c r="G10" s="11"/>
      <c r="H10" s="11"/>
      <c r="I10" s="7"/>
      <c r="J10" s="7"/>
      <c r="K10" s="11"/>
      <c r="L10" s="11"/>
      <c r="M10" s="11"/>
      <c r="N10" s="5"/>
      <c r="O10" s="5"/>
      <c r="P10" s="5"/>
    </row>
    <row r="11" spans="1:26" ht="15" customHeight="1">
      <c r="A11" s="6" t="s">
        <v>46</v>
      </c>
      <c r="B11" s="7"/>
      <c r="C11" s="7"/>
      <c r="D11" s="7"/>
      <c r="E11" s="7"/>
      <c r="F11" s="11"/>
      <c r="G11" s="11"/>
      <c r="H11" s="11"/>
      <c r="I11" s="7"/>
      <c r="J11" s="7"/>
      <c r="K11" s="11"/>
      <c r="L11" s="11"/>
      <c r="M11" s="11"/>
      <c r="N11" s="5"/>
      <c r="O11" s="5"/>
      <c r="P11" s="5"/>
    </row>
    <row r="12" spans="1:26">
      <c r="A12" s="7"/>
      <c r="B12" s="7"/>
      <c r="C12" s="7"/>
      <c r="D12" s="7"/>
      <c r="E12" s="7"/>
      <c r="F12" s="11"/>
      <c r="G12" s="11"/>
      <c r="H12" s="11"/>
      <c r="I12" s="7"/>
      <c r="J12" s="7"/>
      <c r="K12" s="11"/>
      <c r="L12" s="11"/>
      <c r="M12" s="11"/>
      <c r="N12" s="5"/>
      <c r="O12" s="5"/>
      <c r="P12" s="5"/>
    </row>
    <row r="13" spans="1:26" ht="15" customHeight="1">
      <c r="A13" s="6" t="s">
        <v>47</v>
      </c>
      <c r="B13" s="7"/>
      <c r="C13" s="7"/>
      <c r="D13" s="7"/>
      <c r="E13" s="7"/>
      <c r="F13" s="11"/>
      <c r="G13" s="11"/>
      <c r="H13" s="11"/>
      <c r="I13" s="7"/>
      <c r="J13" s="7"/>
      <c r="K13" s="11"/>
      <c r="L13" s="11"/>
      <c r="M13" s="11"/>
      <c r="N13" s="5"/>
      <c r="O13" s="5"/>
      <c r="P13" s="5"/>
    </row>
    <row r="14" spans="1:2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5"/>
      <c r="O14" s="5"/>
      <c r="P14" s="5"/>
    </row>
    <row r="15" spans="1:26" ht="15" customHeight="1">
      <c r="A15" s="8" t="s">
        <v>48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5"/>
      <c r="O15" s="5"/>
      <c r="P15" s="5"/>
    </row>
    <row r="16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5"/>
      <c r="O16" s="5"/>
      <c r="P16" s="5"/>
    </row>
    <row r="17" spans="1:13" ht="15" customHeight="1">
      <c r="A17" s="6" t="s">
        <v>49</v>
      </c>
      <c r="B17" s="7"/>
      <c r="C17" s="7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>
      <c r="A18" s="7"/>
      <c r="B18" s="7"/>
      <c r="C18" s="7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5" customHeight="1">
      <c r="A19" s="6" t="s">
        <v>50</v>
      </c>
      <c r="B19" s="7"/>
      <c r="C19" s="7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>
      <c r="A20" s="7"/>
      <c r="B20" s="7"/>
      <c r="C20" s="7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8.5">
      <c r="A21" s="6" t="s">
        <v>51</v>
      </c>
      <c r="B21" s="7"/>
      <c r="C21" s="7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spans="1:13" ht="1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3" ht="18.5">
      <c r="A23" s="8" t="s">
        <v>52</v>
      </c>
      <c r="B23" s="7"/>
      <c r="C23" s="7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spans="1:13" ht="14">
      <c r="A24" s="7"/>
      <c r="B24" s="7"/>
      <c r="C24" s="7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ht="18.5">
      <c r="A25" s="6" t="s">
        <v>53</v>
      </c>
      <c r="B25" s="7"/>
      <c r="C25" s="7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ht="14">
      <c r="A26" s="7"/>
      <c r="B26" s="7"/>
      <c r="C26" s="7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ht="18.5">
      <c r="A27" s="6" t="s">
        <v>54</v>
      </c>
      <c r="B27" s="7"/>
      <c r="C27" s="7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spans="1:13" ht="14">
      <c r="A28" s="7"/>
      <c r="B28" s="7"/>
      <c r="C28" s="7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spans="1:13" ht="18.5">
      <c r="A29" s="6" t="s">
        <v>55</v>
      </c>
      <c r="B29" s="7"/>
      <c r="C29" s="7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spans="1:13" ht="1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5"/>
  <sheetViews>
    <sheetView workbookViewId="0">
      <selection activeCell="D18" sqref="D18"/>
    </sheetView>
  </sheetViews>
  <sheetFormatPr defaultColWidth="12.6328125" defaultRowHeight="15" customHeight="1"/>
  <sheetData>
    <row r="1" spans="1:26" ht="15" customHeight="1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t="s">
        <v>89</v>
      </c>
    </row>
    <row r="3" spans="1:26" ht="15" customHeight="1">
      <c r="A3" s="6" t="s">
        <v>57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5"/>
      <c r="R3" s="5"/>
    </row>
    <row r="4" spans="1:26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5"/>
      <c r="R4" s="5"/>
    </row>
    <row r="5" spans="1:26" ht="15" customHeight="1">
      <c r="A5" s="6" t="s">
        <v>58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5"/>
      <c r="R5" s="5"/>
    </row>
    <row r="6" spans="1:2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5"/>
      <c r="R6" s="5"/>
    </row>
    <row r="7" spans="1:26" ht="15" customHeight="1">
      <c r="A7" s="9" t="s">
        <v>59</v>
      </c>
      <c r="B7" s="10"/>
      <c r="C7" s="10"/>
      <c r="D7" s="10"/>
      <c r="E7" s="10"/>
      <c r="F7" s="10"/>
      <c r="G7" s="7"/>
      <c r="H7" s="7"/>
      <c r="I7" s="7"/>
      <c r="J7" s="7"/>
      <c r="K7" s="7"/>
      <c r="L7" s="7"/>
      <c r="M7" s="7"/>
      <c r="N7" s="7"/>
      <c r="O7" s="7"/>
      <c r="P7" s="7"/>
      <c r="Q7" s="5"/>
      <c r="R7" s="5"/>
    </row>
    <row r="8" spans="1:26">
      <c r="A8" s="10"/>
      <c r="B8" s="10"/>
      <c r="C8" s="10"/>
      <c r="D8" s="10"/>
      <c r="E8" s="10"/>
      <c r="F8" s="10"/>
      <c r="G8" s="7"/>
      <c r="H8" s="7"/>
      <c r="I8" s="7"/>
      <c r="J8" s="7"/>
      <c r="K8" s="7"/>
      <c r="L8" s="7"/>
      <c r="M8" s="7"/>
      <c r="N8" s="7"/>
      <c r="O8" s="7"/>
      <c r="P8" s="7"/>
      <c r="Q8" s="5"/>
      <c r="R8" s="5"/>
    </row>
    <row r="9" spans="1:26" ht="15" customHeight="1">
      <c r="A9" s="9" t="s">
        <v>60</v>
      </c>
      <c r="B9" s="10"/>
      <c r="C9" s="10"/>
      <c r="D9" s="10"/>
      <c r="E9" s="10"/>
      <c r="F9" s="10"/>
      <c r="G9" s="7"/>
      <c r="H9" s="7"/>
      <c r="I9" s="7"/>
      <c r="J9" s="7"/>
      <c r="K9" s="7"/>
      <c r="L9" s="7"/>
      <c r="M9" s="7"/>
      <c r="N9" s="7"/>
      <c r="O9" s="7"/>
      <c r="P9" s="7"/>
      <c r="Q9" s="5"/>
      <c r="R9" s="5"/>
    </row>
    <row r="10" spans="1:2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5"/>
      <c r="R10" s="5"/>
    </row>
    <row r="11" spans="1:26" ht="15" customHeight="1">
      <c r="A11" s="6" t="s">
        <v>61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5"/>
      <c r="R11" s="5"/>
    </row>
    <row r="12" spans="1:2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5"/>
      <c r="R12" s="5"/>
    </row>
    <row r="13" spans="1:26" ht="15" customHeight="1">
      <c r="A13" s="6" t="s">
        <v>62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5"/>
      <c r="R13" s="5"/>
    </row>
    <row r="14" spans="1:2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5"/>
      <c r="R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28"/>
  <sheetViews>
    <sheetView workbookViewId="0">
      <selection activeCell="C6" sqref="C6"/>
    </sheetView>
  </sheetViews>
  <sheetFormatPr defaultColWidth="12.6328125" defaultRowHeight="15" customHeight="1"/>
  <sheetData>
    <row r="1" spans="1:26" ht="15" customHeight="1">
      <c r="A1" s="1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t="s">
        <v>89</v>
      </c>
    </row>
    <row r="3" spans="1:26" ht="15" customHeight="1">
      <c r="A3" s="19" t="s">
        <v>64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5"/>
      <c r="N3" s="5"/>
      <c r="O3" s="5"/>
    </row>
    <row r="4" spans="1:26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5"/>
      <c r="N4" s="5"/>
      <c r="O4" s="5"/>
    </row>
    <row r="5" spans="1:26" ht="15" customHeight="1">
      <c r="A5" s="6" t="s">
        <v>65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5"/>
      <c r="N5" s="5"/>
      <c r="O5" s="5"/>
    </row>
    <row r="6" spans="1:2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5"/>
      <c r="N6" s="5"/>
      <c r="O6" s="5"/>
    </row>
    <row r="7" spans="1:26" ht="15" customHeight="1">
      <c r="A7" s="6" t="s">
        <v>66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5"/>
      <c r="N7" s="5"/>
      <c r="O7" s="5"/>
    </row>
    <row r="8" spans="1:26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5"/>
      <c r="N8" s="5"/>
      <c r="O8" s="5"/>
    </row>
    <row r="9" spans="1:26" ht="15" customHeight="1">
      <c r="A9" s="6" t="s">
        <v>67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5"/>
      <c r="N9" s="5"/>
      <c r="O9" s="5"/>
    </row>
    <row r="10" spans="1:2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5"/>
      <c r="N10" s="5"/>
      <c r="O10" s="5"/>
    </row>
    <row r="11" spans="1:26" ht="15" customHeight="1">
      <c r="A11" s="6" t="s">
        <v>68</v>
      </c>
      <c r="B11" s="6" t="s">
        <v>69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5"/>
      <c r="N11" s="5"/>
      <c r="O11" s="5"/>
    </row>
    <row r="12" spans="1:2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5"/>
      <c r="N12" s="5"/>
      <c r="O12" s="5"/>
    </row>
    <row r="13" spans="1:26" ht="15" customHeight="1">
      <c r="A13" s="7"/>
      <c r="B13" s="20">
        <f>1 - _xlfn.BINOM.DIST(7, 15, 0.5, TRUE)</f>
        <v>0.5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5"/>
      <c r="N13" s="5"/>
      <c r="O13" s="5"/>
    </row>
    <row r="14" spans="1:2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5"/>
      <c r="N14" s="5"/>
      <c r="O14" s="5"/>
    </row>
    <row r="15" spans="1:26" ht="15" customHeight="1">
      <c r="A15" s="8" t="s">
        <v>70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5"/>
      <c r="N15" s="5"/>
      <c r="O15" s="5"/>
    </row>
    <row r="16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5"/>
      <c r="N16" s="5"/>
      <c r="O16" s="5"/>
    </row>
    <row r="17" spans="1:15" ht="15" customHeight="1">
      <c r="A17" s="21" t="s">
        <v>71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5"/>
      <c r="N17" s="5"/>
      <c r="O17" s="5"/>
    </row>
    <row r="18" spans="1: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5"/>
      <c r="N18" s="5"/>
      <c r="O18" s="5"/>
    </row>
    <row r="19" spans="1:15" ht="15" customHeight="1">
      <c r="A19" s="21" t="s">
        <v>72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5"/>
      <c r="N19" s="5"/>
      <c r="O19" s="5"/>
    </row>
    <row r="20" spans="1: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5"/>
      <c r="N20" s="5"/>
      <c r="O20" s="5"/>
    </row>
    <row r="21" spans="1:15" ht="18.5">
      <c r="A21" s="21" t="s">
        <v>73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5"/>
      <c r="N21" s="5"/>
      <c r="O21" s="5"/>
    </row>
    <row r="22" spans="1:15" ht="1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5"/>
      <c r="N22" s="5"/>
      <c r="O22" s="5"/>
    </row>
    <row r="23" spans="1:15" ht="18.5">
      <c r="A23" s="21" t="s">
        <v>74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5"/>
      <c r="N23" s="5"/>
      <c r="O23" s="5"/>
    </row>
    <row r="24" spans="1:15" ht="1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5"/>
      <c r="N24" s="5"/>
      <c r="O24" s="5"/>
    </row>
    <row r="25" spans="1:15" ht="18.5">
      <c r="A25" s="21" t="s">
        <v>75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5"/>
      <c r="N25" s="5"/>
      <c r="O25" s="5"/>
    </row>
    <row r="26" spans="1:15" ht="14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5"/>
      <c r="N26" s="5"/>
      <c r="O26" s="5"/>
    </row>
    <row r="27" spans="1:15" ht="18.5">
      <c r="A27" s="7"/>
      <c r="B27" s="22" t="s">
        <v>76</v>
      </c>
      <c r="C27" s="17"/>
      <c r="D27" s="17"/>
      <c r="E27" s="17"/>
      <c r="F27" s="17"/>
      <c r="G27" s="17"/>
      <c r="H27" s="17"/>
      <c r="I27" s="17"/>
      <c r="J27" s="17"/>
      <c r="K27" s="7"/>
      <c r="L27" s="7"/>
      <c r="M27" s="5"/>
      <c r="N27" s="5"/>
      <c r="O27" s="5"/>
    </row>
    <row r="28" spans="1:15" ht="14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5"/>
      <c r="N28" s="5"/>
      <c r="O28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25"/>
  <sheetViews>
    <sheetView workbookViewId="0">
      <selection activeCell="A3" sqref="A3"/>
    </sheetView>
  </sheetViews>
  <sheetFormatPr defaultColWidth="12.6328125" defaultRowHeight="15" customHeight="1"/>
  <sheetData>
    <row r="1" spans="1:26" ht="15" customHeight="1">
      <c r="A1" s="1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t="s">
        <v>89</v>
      </c>
    </row>
    <row r="3" spans="1:26" ht="15" customHeight="1">
      <c r="A3" s="6" t="s">
        <v>78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5"/>
      <c r="P3" s="5"/>
      <c r="Q3" s="5"/>
    </row>
    <row r="4" spans="1:26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5"/>
      <c r="P4" s="5"/>
      <c r="Q4" s="5"/>
    </row>
    <row r="5" spans="1:26" ht="15" customHeight="1">
      <c r="A5" s="8" t="s">
        <v>79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5"/>
      <c r="P5" s="5"/>
      <c r="Q5" s="5"/>
    </row>
    <row r="6" spans="1:2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5"/>
      <c r="P6" s="5"/>
      <c r="Q6" s="5"/>
    </row>
    <row r="7" spans="1:26" ht="15" customHeight="1">
      <c r="A7" s="9" t="s">
        <v>80</v>
      </c>
      <c r="B7" s="10"/>
      <c r="C7" s="10"/>
      <c r="D7" s="10"/>
      <c r="E7" s="10"/>
      <c r="F7" s="10"/>
      <c r="G7" s="10"/>
      <c r="H7" s="10"/>
      <c r="I7" s="10"/>
      <c r="J7" s="10"/>
      <c r="K7" s="7"/>
      <c r="L7" s="7"/>
      <c r="M7" s="7"/>
      <c r="N7" s="7"/>
      <c r="O7" s="5"/>
      <c r="P7" s="5"/>
      <c r="Q7" s="5"/>
    </row>
    <row r="8" spans="1:26">
      <c r="A8" s="10"/>
      <c r="B8" s="10"/>
      <c r="C8" s="10"/>
      <c r="D8" s="10"/>
      <c r="E8" s="10"/>
      <c r="F8" s="10"/>
      <c r="G8" s="10"/>
      <c r="H8" s="10"/>
      <c r="I8" s="10"/>
      <c r="J8" s="10"/>
      <c r="K8" s="7"/>
      <c r="L8" s="7"/>
      <c r="M8" s="7"/>
      <c r="N8" s="7"/>
      <c r="O8" s="5"/>
      <c r="P8" s="5"/>
      <c r="Q8" s="5"/>
    </row>
    <row r="9" spans="1:26" ht="15" customHeight="1">
      <c r="A9" s="9" t="s">
        <v>81</v>
      </c>
      <c r="B9" s="10"/>
      <c r="C9" s="10"/>
      <c r="D9" s="10"/>
      <c r="E9" s="10"/>
      <c r="F9" s="10"/>
      <c r="G9" s="10"/>
      <c r="H9" s="10"/>
      <c r="I9" s="10"/>
      <c r="J9" s="10"/>
      <c r="K9" s="7"/>
      <c r="L9" s="7"/>
      <c r="M9" s="7"/>
      <c r="N9" s="7"/>
      <c r="O9" s="5"/>
      <c r="P9" s="5"/>
      <c r="Q9" s="5"/>
    </row>
    <row r="10" spans="1:26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7"/>
      <c r="L10" s="7"/>
      <c r="M10" s="7"/>
      <c r="N10" s="7"/>
      <c r="O10" s="5"/>
      <c r="P10" s="5"/>
      <c r="Q10" s="5"/>
    </row>
    <row r="11" spans="1:26" ht="15" customHeight="1">
      <c r="A11" s="9" t="s">
        <v>82</v>
      </c>
      <c r="B11" s="10"/>
      <c r="C11" s="10"/>
      <c r="D11" s="10"/>
      <c r="E11" s="10"/>
      <c r="F11" s="10"/>
      <c r="G11" s="10"/>
      <c r="H11" s="10"/>
      <c r="I11" s="10"/>
      <c r="J11" s="10"/>
      <c r="K11" s="7"/>
      <c r="L11" s="7"/>
      <c r="M11" s="7"/>
      <c r="N11" s="7"/>
      <c r="O11" s="5"/>
      <c r="P11" s="5"/>
      <c r="Q11" s="5"/>
    </row>
    <row r="12" spans="1:2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7"/>
      <c r="L12" s="7"/>
      <c r="M12" s="7"/>
      <c r="N12" s="7"/>
      <c r="O12" s="5"/>
      <c r="P12" s="5"/>
      <c r="Q12" s="5"/>
    </row>
    <row r="13" spans="1:26" ht="15" customHeight="1">
      <c r="A13" s="9" t="s">
        <v>83</v>
      </c>
      <c r="B13" s="10"/>
      <c r="C13" s="10"/>
      <c r="D13" s="10"/>
      <c r="E13" s="10"/>
      <c r="F13" s="10"/>
      <c r="G13" s="10"/>
      <c r="H13" s="10"/>
      <c r="I13" s="10"/>
      <c r="J13" s="10"/>
      <c r="K13" s="7"/>
      <c r="L13" s="7"/>
      <c r="M13" s="7"/>
      <c r="N13" s="7"/>
      <c r="O13" s="5"/>
      <c r="P13" s="5"/>
      <c r="Q13" s="5"/>
    </row>
    <row r="14" spans="1:2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7"/>
      <c r="L14" s="7"/>
      <c r="M14" s="7"/>
      <c r="N14" s="7"/>
      <c r="O14" s="5"/>
      <c r="P14" s="5"/>
      <c r="Q14" s="5"/>
    </row>
    <row r="15" spans="1:2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5"/>
      <c r="P15" s="5"/>
      <c r="Q15" s="5"/>
    </row>
    <row r="16" spans="1:26" ht="15" customHeight="1">
      <c r="A16" s="8" t="s">
        <v>84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5"/>
      <c r="P16" s="5"/>
      <c r="Q16" s="5"/>
    </row>
    <row r="17" spans="1: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5"/>
      <c r="P17" s="5"/>
      <c r="Q17" s="5"/>
    </row>
    <row r="18" spans="1:17" ht="15" customHeight="1">
      <c r="A18" s="9" t="s">
        <v>85</v>
      </c>
      <c r="B18" s="10"/>
      <c r="C18" s="10"/>
      <c r="D18" s="10"/>
      <c r="E18" s="10"/>
      <c r="F18" s="10"/>
      <c r="G18" s="10"/>
      <c r="H18" s="10"/>
      <c r="I18" s="7"/>
      <c r="J18" s="7"/>
      <c r="K18" s="7"/>
      <c r="L18" s="7"/>
      <c r="M18" s="7"/>
      <c r="N18" s="7"/>
      <c r="O18" s="5"/>
      <c r="P18" s="5"/>
      <c r="Q18" s="5"/>
    </row>
    <row r="19" spans="1:17">
      <c r="A19" s="10"/>
      <c r="B19" s="10"/>
      <c r="C19" s="10"/>
      <c r="D19" s="10"/>
      <c r="E19" s="10"/>
      <c r="F19" s="10"/>
      <c r="G19" s="10"/>
      <c r="H19" s="10"/>
      <c r="I19" s="7"/>
      <c r="J19" s="7"/>
      <c r="K19" s="7"/>
      <c r="L19" s="7"/>
      <c r="M19" s="7"/>
      <c r="N19" s="7"/>
      <c r="O19" s="5"/>
      <c r="P19" s="5"/>
      <c r="Q19" s="5"/>
    </row>
    <row r="20" spans="1:17" ht="15" customHeight="1">
      <c r="A20" s="9" t="s">
        <v>86</v>
      </c>
      <c r="B20" s="10"/>
      <c r="C20" s="10"/>
      <c r="D20" s="10"/>
      <c r="E20" s="10"/>
      <c r="F20" s="10"/>
      <c r="G20" s="10"/>
      <c r="H20" s="10"/>
      <c r="I20" s="7"/>
      <c r="J20" s="7"/>
      <c r="K20" s="7"/>
      <c r="L20" s="7"/>
      <c r="M20" s="7"/>
      <c r="N20" s="7"/>
      <c r="O20" s="5"/>
      <c r="P20" s="5"/>
      <c r="Q20" s="5"/>
    </row>
    <row r="21" spans="1:17" ht="14">
      <c r="A21" s="10"/>
      <c r="B21" s="10"/>
      <c r="C21" s="10"/>
      <c r="D21" s="10"/>
      <c r="E21" s="10"/>
      <c r="F21" s="10"/>
      <c r="G21" s="10"/>
      <c r="H21" s="10"/>
      <c r="I21" s="7"/>
      <c r="J21" s="7"/>
      <c r="K21" s="7"/>
      <c r="L21" s="7"/>
      <c r="M21" s="7"/>
      <c r="N21" s="7"/>
      <c r="O21" s="5"/>
      <c r="P21" s="5"/>
      <c r="Q21" s="5"/>
    </row>
    <row r="22" spans="1:17" ht="18.5">
      <c r="A22" s="9" t="s">
        <v>87</v>
      </c>
      <c r="B22" s="10"/>
      <c r="C22" s="10"/>
      <c r="D22" s="10"/>
      <c r="E22" s="10"/>
      <c r="F22" s="10"/>
      <c r="G22" s="10"/>
      <c r="H22" s="10"/>
      <c r="I22" s="7"/>
      <c r="J22" s="7"/>
      <c r="K22" s="7"/>
      <c r="L22" s="7"/>
      <c r="M22" s="7"/>
      <c r="N22" s="7"/>
      <c r="O22" s="5"/>
      <c r="P22" s="5"/>
      <c r="Q22" s="5"/>
    </row>
    <row r="23" spans="1:17" ht="1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5"/>
      <c r="P23" s="5"/>
      <c r="Q23" s="5"/>
    </row>
    <row r="24" spans="1:17" ht="18.5">
      <c r="A24" s="6" t="s">
        <v>88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5"/>
      <c r="P24" s="5"/>
      <c r="Q24" s="5"/>
    </row>
    <row r="25" spans="1:17" ht="1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Janith a</cp:lastModifiedBy>
  <dcterms:modified xsi:type="dcterms:W3CDTF">2026-01-08T15:02:39Z</dcterms:modified>
</cp:coreProperties>
</file>